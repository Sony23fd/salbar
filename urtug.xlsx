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D:\pvvjee\Бэтц\"/>
    </mc:Choice>
  </mc:AlternateContent>
  <xr:revisionPtr revIDLastSave="0" documentId="8_{E7B5525A-83D9-444E-9561-B33EBB6FE75A}" xr6:coauthVersionLast="45" xr6:coauthVersionMax="45" xr10:uidLastSave="{00000000-0000-0000-0000-000000000000}"/>
  <bookViews>
    <workbookView xWindow="-120" yWindow="-120" windowWidth="29040" windowHeight="15720" tabRatio="893" activeTab="7" xr2:uid="{00000000-000D-0000-FFFF-FFFF00000000}"/>
  </bookViews>
  <sheets>
    <sheet name="ТОГТМОЛ ЗАРДАЛ" sheetId="10" r:id="rId1"/>
    <sheet name="1" sheetId="13" r:id="rId2"/>
    <sheet name="2" sheetId="11" r:id="rId3"/>
    <sheet name="3" sheetId="17" r:id="rId4"/>
    <sheet name="АДУУНЫ МАХ" sheetId="8" state="hidden" r:id="rId5"/>
    <sheet name="Хуулга" sheetId="28" r:id="rId6"/>
    <sheet name="Цаг" sheetId="26" r:id="rId7"/>
    <sheet name="Үйлдвэрлэл" sheetId="25" r:id="rId8"/>
    <sheet name="Малын тооцоо" sheetId="27" r:id="rId9"/>
    <sheet name="ТЭМ" sheetId="29" r:id="rId10"/>
    <sheet name="шулаа" sheetId="34" r:id="rId11"/>
    <sheet name="ТЭМ тус" sheetId="30" r:id="rId12"/>
    <sheet name="СББ" sheetId="31" r:id="rId13"/>
    <sheet name="Sheet1" sheetId="32" r:id="rId14"/>
    <sheet name="өртөг сараар төлөвлөгөө" sheetId="21" r:id="rId15"/>
    <sheet name="Бодит үйлдвэрлэл" sheetId="33" r:id="rId16"/>
    <sheet name="НИЙТ" sheetId="1" r:id="rId17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68" i="25" l="1"/>
  <c r="O9" i="34"/>
  <c r="O7" i="34"/>
  <c r="O8" i="34"/>
  <c r="P7" i="34"/>
  <c r="O4" i="34"/>
  <c r="O5" i="34"/>
  <c r="O3" i="34"/>
  <c r="K7" i="34"/>
  <c r="J7" i="34"/>
  <c r="AT66" i="25"/>
  <c r="W66" i="25"/>
  <c r="V66" i="25"/>
  <c r="U66" i="25"/>
  <c r="L66" i="25"/>
  <c r="L65" i="25"/>
  <c r="C65" i="25"/>
  <c r="M6" i="34"/>
  <c r="M7" i="34" s="1"/>
  <c r="M8" i="34" s="1"/>
  <c r="M9" i="34" s="1"/>
  <c r="M10" i="34" s="1"/>
  <c r="M11" i="34" s="1"/>
  <c r="M12" i="34" s="1"/>
  <c r="M13" i="34" s="1"/>
  <c r="M14" i="34" s="1"/>
  <c r="M15" i="34" s="1"/>
  <c r="M16" i="34" s="1"/>
  <c r="M17" i="34" s="1"/>
  <c r="M18" i="34" s="1"/>
  <c r="M19" i="34" s="1"/>
  <c r="M20" i="34" s="1"/>
  <c r="M21" i="34" s="1"/>
  <c r="M22" i="34" s="1"/>
  <c r="H6" i="34"/>
  <c r="H7" i="34"/>
  <c r="H8" i="34"/>
  <c r="H9" i="34" s="1"/>
  <c r="H10" i="34" s="1"/>
  <c r="H11" i="34" s="1"/>
  <c r="H12" i="34" s="1"/>
  <c r="H13" i="34" s="1"/>
  <c r="H14" i="34" s="1"/>
  <c r="H15" i="34" s="1"/>
  <c r="H16" i="34" s="1"/>
  <c r="F6" i="34"/>
  <c r="AP11" i="29"/>
  <c r="AP12" i="29"/>
  <c r="AP13" i="29"/>
  <c r="AP14" i="29"/>
  <c r="AP15" i="29"/>
  <c r="AT69" i="25"/>
  <c r="P8" i="34" l="1"/>
  <c r="Q67" i="25" l="1"/>
  <c r="P4" i="34"/>
  <c r="P3" i="34"/>
  <c r="J4" i="34"/>
  <c r="M3" i="34"/>
  <c r="M4" i="34" s="1"/>
  <c r="M5" i="34" s="1"/>
  <c r="AT67" i="25"/>
  <c r="AT65" i="25"/>
  <c r="W65" i="25" l="1"/>
  <c r="U67" i="25"/>
  <c r="V67" i="25" s="1"/>
  <c r="U65" i="25"/>
  <c r="V65" i="25" s="1"/>
  <c r="L67" i="25"/>
  <c r="H5" i="34"/>
  <c r="AF11" i="29"/>
  <c r="AF12" i="29" s="1"/>
  <c r="AG11" i="29"/>
  <c r="AG12" i="29" s="1"/>
  <c r="AH11" i="29"/>
  <c r="AH12" i="29"/>
  <c r="CH8" i="29"/>
  <c r="CJ11" i="29"/>
  <c r="CJ12" i="29" s="1"/>
  <c r="CJ13" i="29" s="1"/>
  <c r="BY11" i="29"/>
  <c r="BY12" i="29" s="1"/>
  <c r="BZ11" i="29"/>
  <c r="BZ12" i="29" s="1"/>
  <c r="BN11" i="29"/>
  <c r="BO11" i="29"/>
  <c r="BN12" i="29"/>
  <c r="BO12" i="29"/>
  <c r="AW11" i="29"/>
  <c r="BD11" i="29" s="1"/>
  <c r="BD12" i="29" s="1"/>
  <c r="BD13" i="29" s="1"/>
  <c r="BB11" i="29"/>
  <c r="BB12" i="29" s="1"/>
  <c r="BB13" i="29" s="1"/>
  <c r="BC11" i="29"/>
  <c r="BC12" i="29" s="1"/>
  <c r="BC13" i="29" s="1"/>
  <c r="AW12" i="29"/>
  <c r="AW13" i="29"/>
  <c r="AQ12" i="29"/>
  <c r="AR12" i="29"/>
  <c r="AQ11" i="29"/>
  <c r="AR11" i="29"/>
  <c r="AS11" i="29"/>
  <c r="AS12" i="29" s="1"/>
  <c r="E12" i="29"/>
  <c r="L12" i="29" s="1"/>
  <c r="I12" i="29"/>
  <c r="J12" i="29"/>
  <c r="K12" i="29"/>
  <c r="T12" i="29"/>
  <c r="E11" i="29"/>
  <c r="L11" i="29" s="1"/>
  <c r="I11" i="29"/>
  <c r="J11" i="29"/>
  <c r="K11" i="29"/>
  <c r="T11" i="29"/>
  <c r="H4" i="34"/>
  <c r="H3" i="34"/>
  <c r="E3" i="34"/>
  <c r="AP10" i="29"/>
  <c r="D98" i="21" l="1"/>
  <c r="G98" i="21"/>
  <c r="I98" i="21"/>
  <c r="L98" i="21"/>
  <c r="J98" i="21" s="1"/>
  <c r="K98" i="21" s="1"/>
  <c r="M98" i="21"/>
  <c r="G99" i="21"/>
  <c r="I99" i="21"/>
  <c r="M99" i="21"/>
  <c r="L99" i="21" s="1"/>
  <c r="J99" i="21" s="1"/>
  <c r="K99" i="21" s="1"/>
  <c r="G100" i="21"/>
  <c r="I100" i="21"/>
  <c r="L100" i="21"/>
  <c r="J100" i="21" s="1"/>
  <c r="K100" i="21" s="1"/>
  <c r="M100" i="21"/>
  <c r="D101" i="21"/>
  <c r="G101" i="21"/>
  <c r="I101" i="21"/>
  <c r="M101" i="21"/>
  <c r="L101" i="21" s="1"/>
  <c r="J101" i="21" s="1"/>
  <c r="K101" i="21" s="1"/>
  <c r="G102" i="21"/>
  <c r="I102" i="21"/>
  <c r="M102" i="21"/>
  <c r="L102" i="21" s="1"/>
  <c r="J102" i="21" s="1"/>
  <c r="K102" i="21" s="1"/>
  <c r="AK53" i="25" l="1"/>
  <c r="L53" i="25"/>
  <c r="F53" i="25"/>
  <c r="E53" i="25"/>
  <c r="X80" i="21" l="1"/>
  <c r="K89" i="21" l="1"/>
  <c r="I89" i="21"/>
  <c r="K86" i="21"/>
  <c r="I86" i="21"/>
  <c r="H86" i="21"/>
  <c r="K85" i="21"/>
  <c r="I85" i="21"/>
  <c r="H85" i="21"/>
  <c r="K84" i="21"/>
  <c r="I84" i="21"/>
  <c r="H84" i="21"/>
  <c r="K20" i="21"/>
  <c r="I20" i="21"/>
  <c r="I16" i="21"/>
  <c r="I17" i="21"/>
  <c r="K16" i="21"/>
  <c r="K17" i="21"/>
  <c r="K15" i="21"/>
  <c r="I15" i="21"/>
  <c r="H17" i="21"/>
  <c r="H16" i="21"/>
  <c r="H15" i="21"/>
  <c r="H67" i="11" l="1"/>
  <c r="AX6" i="31" l="1"/>
  <c r="AH3" i="31"/>
  <c r="AC3" i="31"/>
  <c r="X3" i="31"/>
  <c r="S3" i="31"/>
  <c r="D3" i="31"/>
  <c r="AT60" i="25"/>
  <c r="AT61" i="25" s="1"/>
  <c r="AT62" i="25" s="1"/>
  <c r="AT63" i="25" s="1"/>
  <c r="AT64" i="25" s="1"/>
  <c r="AT53" i="25"/>
  <c r="AT54" i="25" s="1"/>
  <c r="AT55" i="25" s="1"/>
  <c r="AT56" i="25" s="1"/>
  <c r="AT57" i="25" s="1"/>
  <c r="AT58" i="25" s="1"/>
  <c r="AT59" i="25" s="1"/>
  <c r="AT47" i="25"/>
  <c r="AT48" i="25" s="1"/>
  <c r="AT49" i="25" s="1"/>
  <c r="AT50" i="25" s="1"/>
  <c r="AT51" i="25" s="1"/>
  <c r="AT52" i="25" s="1"/>
  <c r="AT33" i="25"/>
  <c r="AT34" i="25" s="1"/>
  <c r="AT35" i="25" s="1"/>
  <c r="AT36" i="25" s="1"/>
  <c r="AT37" i="25" s="1"/>
  <c r="AT38" i="25" s="1"/>
  <c r="AT39" i="25" s="1"/>
  <c r="AT40" i="25" s="1"/>
  <c r="AT41" i="25" s="1"/>
  <c r="AT42" i="25" s="1"/>
  <c r="AT43" i="25" s="1"/>
  <c r="AT44" i="25" s="1"/>
  <c r="AT45" i="25" s="1"/>
  <c r="BM5" i="29"/>
  <c r="BM6" i="29" s="1"/>
  <c r="BM7" i="29" s="1"/>
  <c r="BM8" i="29" s="1"/>
  <c r="BM9" i="29" s="1"/>
  <c r="BM10" i="29" s="1"/>
  <c r="BX5" i="29"/>
  <c r="BX6" i="29" s="1"/>
  <c r="BX7" i="29" s="1"/>
  <c r="BX8" i="29" s="1"/>
  <c r="BX9" i="29" s="1"/>
  <c r="BX10" i="29" s="1"/>
  <c r="BY5" i="29"/>
  <c r="BY6" i="29" s="1"/>
  <c r="BY7" i="29" s="1"/>
  <c r="BY8" i="29" s="1"/>
  <c r="BY9" i="29" s="1"/>
  <c r="BY10" i="29" s="1"/>
  <c r="BZ4" i="29"/>
  <c r="BZ5" i="29" s="1"/>
  <c r="BZ6" i="29" s="1"/>
  <c r="BZ7" i="29" s="1"/>
  <c r="BZ8" i="29" s="1"/>
  <c r="BZ9" i="29" s="1"/>
  <c r="BZ10" i="29" s="1"/>
  <c r="BZ13" i="29" s="1"/>
  <c r="BZ14" i="29" s="1"/>
  <c r="BZ15" i="29" s="1"/>
  <c r="BZ16" i="29" s="1"/>
  <c r="BZ17" i="29" s="1"/>
  <c r="BZ18" i="29" s="1"/>
  <c r="BN5" i="29"/>
  <c r="BN6" i="29" s="1"/>
  <c r="BN7" i="29" s="1"/>
  <c r="BN8" i="29" s="1"/>
  <c r="BO4" i="29"/>
  <c r="BO5" i="29" s="1"/>
  <c r="BO6" i="29" s="1"/>
  <c r="BO7" i="29" s="1"/>
  <c r="BO8" i="29" s="1"/>
  <c r="BO9" i="29" s="1"/>
  <c r="BO10" i="29" s="1"/>
  <c r="BO13" i="29" s="1"/>
  <c r="BO14" i="29" s="1"/>
  <c r="BO15" i="29" s="1"/>
  <c r="BO16" i="29" s="1"/>
  <c r="BO17" i="29" s="1"/>
  <c r="BO18" i="29" s="1"/>
  <c r="H90" i="21"/>
  <c r="H88" i="21"/>
  <c r="H87" i="21"/>
  <c r="H83" i="21"/>
  <c r="H82" i="21"/>
  <c r="M81" i="21"/>
  <c r="H81" i="21"/>
  <c r="K80" i="21"/>
  <c r="J80" i="21"/>
  <c r="H79" i="21"/>
  <c r="H78" i="21"/>
  <c r="K77" i="21"/>
  <c r="H77" i="21"/>
  <c r="H76" i="21"/>
  <c r="J75" i="21"/>
  <c r="H75" i="21"/>
  <c r="J74" i="21"/>
  <c r="H74" i="21"/>
  <c r="M73" i="21"/>
  <c r="H73" i="21"/>
  <c r="BN9" i="29" l="1"/>
  <c r="BN10" i="29" s="1"/>
  <c r="BN13" i="29" s="1"/>
  <c r="BN14" i="29" s="1"/>
  <c r="BN15" i="29" s="1"/>
  <c r="BN16" i="29" s="1"/>
  <c r="BN17" i="29" s="1"/>
  <c r="BN18" i="29" s="1"/>
  <c r="BY13" i="29"/>
  <c r="BY14" i="29" s="1"/>
  <c r="BY15" i="29" s="1"/>
  <c r="BY16" i="29" s="1"/>
  <c r="BY17" i="29" s="1"/>
  <c r="BY18" i="29" s="1"/>
  <c r="BX12" i="29"/>
  <c r="BX13" i="29" s="1"/>
  <c r="BX14" i="29" s="1"/>
  <c r="BX15" i="29" s="1"/>
  <c r="BX16" i="29" s="1"/>
  <c r="BX17" i="29" s="1"/>
  <c r="BX18" i="29" s="1"/>
  <c r="BM12" i="29"/>
  <c r="BM13" i="29" s="1"/>
  <c r="BM14" i="29" s="1"/>
  <c r="BM15" i="29" s="1"/>
  <c r="BM16" i="29" s="1"/>
  <c r="BM17" i="29" s="1"/>
  <c r="BM18" i="29" s="1"/>
  <c r="AW14" i="29" l="1"/>
  <c r="AW15" i="29"/>
  <c r="AW16" i="29"/>
  <c r="AW17" i="29"/>
  <c r="AW18" i="29"/>
  <c r="AW10" i="29"/>
  <c r="BC5" i="29"/>
  <c r="BC6" i="29" s="1"/>
  <c r="BC7" i="29" s="1"/>
  <c r="BC8" i="29" s="1"/>
  <c r="BB5" i="29"/>
  <c r="BB6" i="29" s="1"/>
  <c r="BB7" i="29" s="1"/>
  <c r="BB8" i="29" s="1"/>
  <c r="BD4" i="29"/>
  <c r="BD5" i="29" s="1"/>
  <c r="BD6" i="29" s="1"/>
  <c r="BD7" i="29" s="1"/>
  <c r="BD8" i="29" s="1"/>
  <c r="BD9" i="29" s="1"/>
  <c r="C54" i="25"/>
  <c r="L39" i="25"/>
  <c r="L38" i="25"/>
  <c r="L37" i="25"/>
  <c r="L36" i="25"/>
  <c r="L35" i="25"/>
  <c r="L34" i="25"/>
  <c r="L19" i="25"/>
  <c r="L18" i="25"/>
  <c r="L17" i="25"/>
  <c r="L16" i="25"/>
  <c r="AO21" i="25"/>
  <c r="AO20" i="25"/>
  <c r="AO19" i="25"/>
  <c r="AO18" i="25"/>
  <c r="AO17" i="25"/>
  <c r="AO16" i="25"/>
  <c r="AO15" i="25"/>
  <c r="L15" i="25"/>
  <c r="L14" i="25"/>
  <c r="L13" i="25"/>
  <c r="L12" i="25"/>
  <c r="AO14" i="25"/>
  <c r="AO13" i="25"/>
  <c r="AO12" i="25"/>
  <c r="AO11" i="25"/>
  <c r="L11" i="25"/>
  <c r="L10" i="25"/>
  <c r="AO10" i="25"/>
  <c r="AO9" i="25"/>
  <c r="AO8" i="25"/>
  <c r="AO7" i="25"/>
  <c r="AT7" i="25" s="1"/>
  <c r="AT8" i="25" s="1"/>
  <c r="AT9" i="25" s="1"/>
  <c r="BB9" i="29" l="1"/>
  <c r="BB10" i="29" s="1"/>
  <c r="BB14" i="29" s="1"/>
  <c r="BB15" i="29" s="1"/>
  <c r="BB16" i="29" s="1"/>
  <c r="BB17" i="29" s="1"/>
  <c r="BB18" i="29" s="1"/>
  <c r="BC9" i="29"/>
  <c r="BC10" i="29" s="1"/>
  <c r="BC14" i="29" s="1"/>
  <c r="BC15" i="29" s="1"/>
  <c r="BC16" i="29" s="1"/>
  <c r="BC17" i="29" s="1"/>
  <c r="BC18" i="29" s="1"/>
  <c r="AT10" i="25"/>
  <c r="AT11" i="25" s="1"/>
  <c r="AT12" i="25" s="1"/>
  <c r="AT13" i="25" s="1"/>
  <c r="AT14" i="25" s="1"/>
  <c r="AT15" i="25" s="1"/>
  <c r="AT16" i="25" s="1"/>
  <c r="AT17" i="25" s="1"/>
  <c r="AT18" i="25" s="1"/>
  <c r="AT19" i="25" s="1"/>
  <c r="AT20" i="25" s="1"/>
  <c r="AT21" i="25" s="1"/>
  <c r="AT22" i="25" s="1"/>
  <c r="AT23" i="25" s="1"/>
  <c r="AT24" i="25" s="1"/>
  <c r="AT25" i="25" s="1"/>
  <c r="AT26" i="25" s="1"/>
  <c r="AT27" i="25" s="1"/>
  <c r="AT28" i="25" s="1"/>
  <c r="AT29" i="25" s="1"/>
  <c r="AT30" i="25" s="1"/>
  <c r="AT31" i="25" s="1"/>
  <c r="BD10" i="29"/>
  <c r="BD14" i="29" s="1"/>
  <c r="BD15" i="29" s="1"/>
  <c r="BD16" i="29" s="1"/>
  <c r="BD17" i="29" s="1"/>
  <c r="BD18" i="29" s="1"/>
  <c r="L9" i="25" l="1"/>
  <c r="L8" i="25"/>
  <c r="L7" i="25"/>
  <c r="H68" i="21" l="1"/>
  <c r="H67" i="21"/>
  <c r="H66" i="21"/>
  <c r="H65" i="21"/>
  <c r="M64" i="21"/>
  <c r="H64" i="21"/>
  <c r="S63" i="21"/>
  <c r="T63" i="21" s="1"/>
  <c r="V63" i="21" s="1"/>
  <c r="U63" i="21" s="1"/>
  <c r="K63" i="21"/>
  <c r="J63" i="21"/>
  <c r="K62" i="21"/>
  <c r="H62" i="21"/>
  <c r="H61" i="21"/>
  <c r="J60" i="21"/>
  <c r="H60" i="21"/>
  <c r="J59" i="21"/>
  <c r="H59" i="21"/>
  <c r="M58" i="21"/>
  <c r="H58" i="21"/>
  <c r="N65" i="21" l="1"/>
  <c r="O65" i="21" s="1"/>
  <c r="Q65" i="21" s="1"/>
  <c r="R65" i="21" s="1"/>
  <c r="S65" i="21" s="1"/>
  <c r="T65" i="21" s="1"/>
  <c r="V65" i="21" s="1"/>
  <c r="U65" i="21" s="1"/>
  <c r="N66" i="21"/>
  <c r="O66" i="21" s="1"/>
  <c r="Q66" i="21" s="1"/>
  <c r="R66" i="21" s="1"/>
  <c r="S66" i="21" s="1"/>
  <c r="T66" i="21" s="1"/>
  <c r="V66" i="21" s="1"/>
  <c r="U66" i="21" s="1"/>
  <c r="N67" i="21"/>
  <c r="O67" i="21" s="1"/>
  <c r="Q67" i="21" s="1"/>
  <c r="R67" i="21" s="1"/>
  <c r="S67" i="21" s="1"/>
  <c r="T67" i="21" s="1"/>
  <c r="V67" i="21" s="1"/>
  <c r="U67" i="21" s="1"/>
  <c r="N68" i="21"/>
  <c r="O68" i="21" s="1"/>
  <c r="Q68" i="21" s="1"/>
  <c r="R68" i="21" s="1"/>
  <c r="S68" i="21" s="1"/>
  <c r="T68" i="21" s="1"/>
  <c r="V68" i="21" s="1"/>
  <c r="U68" i="21" s="1"/>
  <c r="N64" i="21"/>
  <c r="O64" i="21" s="1"/>
  <c r="Q64" i="21"/>
  <c r="R64" i="21" s="1"/>
  <c r="S64" i="21" s="1"/>
  <c r="T64" i="21" s="1"/>
  <c r="V64" i="21" s="1"/>
  <c r="U64" i="21" s="1"/>
  <c r="AD3" i="31" l="1"/>
  <c r="AE3" i="31" s="1"/>
  <c r="AE4" i="31" s="1"/>
  <c r="T3" i="31"/>
  <c r="U3" i="31" s="1"/>
  <c r="U4" i="31" s="1"/>
  <c r="Y3" i="31"/>
  <c r="Z3" i="31" s="1"/>
  <c r="Z4" i="31" s="1"/>
  <c r="Z5" i="31" s="1"/>
  <c r="Z6" i="31" s="1"/>
  <c r="AM3" i="31"/>
  <c r="AT4" i="25"/>
  <c r="AT6" i="25"/>
  <c r="AT5" i="25"/>
  <c r="AR6" i="25"/>
  <c r="AR5" i="25"/>
  <c r="AR4" i="25"/>
  <c r="AP6" i="25"/>
  <c r="AQ6" i="25" s="1"/>
  <c r="AU6" i="25" s="1"/>
  <c r="AP5" i="25"/>
  <c r="AQ5" i="25" s="1"/>
  <c r="AP4" i="25"/>
  <c r="AQ4" i="25" s="1"/>
  <c r="AQ7" i="25"/>
  <c r="AQ8" i="25" s="1"/>
  <c r="AQ9" i="25" s="1"/>
  <c r="AQ10" i="25" s="1"/>
  <c r="AQ11" i="25" s="1"/>
  <c r="AQ12" i="25" s="1"/>
  <c r="AQ13" i="25" s="1"/>
  <c r="AQ14" i="25" s="1"/>
  <c r="AQ15" i="25" s="1"/>
  <c r="AQ16" i="25" s="1"/>
  <c r="AQ17" i="25" s="1"/>
  <c r="AQ18" i="25" s="1"/>
  <c r="AQ19" i="25" s="1"/>
  <c r="AQ20" i="25" s="1"/>
  <c r="AQ21" i="25" s="1"/>
  <c r="AJ3" i="31"/>
  <c r="AJ4" i="31" s="1"/>
  <c r="AL13" i="29"/>
  <c r="AL14" i="29"/>
  <c r="AL15" i="29"/>
  <c r="AL16" i="29"/>
  <c r="AL17" i="29"/>
  <c r="AL18" i="29"/>
  <c r="AJ12" i="29"/>
  <c r="AL12" i="29" s="1"/>
  <c r="D4" i="32"/>
  <c r="C3" i="32"/>
  <c r="D2" i="32"/>
  <c r="BD6" i="31"/>
  <c r="K6" i="31"/>
  <c r="BC6" i="31"/>
  <c r="BM6" i="31"/>
  <c r="BB6" i="31"/>
  <c r="BD3" i="31"/>
  <c r="BD4" i="31" s="1"/>
  <c r="BD5" i="31" s="1"/>
  <c r="BL6" i="31"/>
  <c r="BN3" i="31"/>
  <c r="BN4" i="31" s="1"/>
  <c r="BN5" i="31" s="1"/>
  <c r="BN6" i="31" s="1"/>
  <c r="BO3" i="31"/>
  <c r="BQ3" i="31"/>
  <c r="BS3" i="31"/>
  <c r="BS4" i="31" s="1"/>
  <c r="BS5" i="31" s="1"/>
  <c r="BQ4" i="31"/>
  <c r="BG6" i="31"/>
  <c r="AW6" i="31"/>
  <c r="BI3" i="31"/>
  <c r="BI4" i="31" s="1"/>
  <c r="AY3" i="31"/>
  <c r="AY4" i="31" s="1"/>
  <c r="AT3" i="31"/>
  <c r="AT4" i="31" s="1"/>
  <c r="AO3" i="31"/>
  <c r="AO4" i="31" s="1"/>
  <c r="P3" i="31"/>
  <c r="K3" i="31"/>
  <c r="F3" i="31"/>
  <c r="F4" i="31" s="1"/>
  <c r="BT3" i="31"/>
  <c r="BV3" i="31" s="1"/>
  <c r="CA3" i="31"/>
  <c r="CC3" i="31"/>
  <c r="CC4" i="31" s="1"/>
  <c r="CF3" i="31"/>
  <c r="CH3" i="31"/>
  <c r="P4" i="31"/>
  <c r="K5" i="31"/>
  <c r="CH4" i="31"/>
  <c r="BV4" i="31"/>
  <c r="CA4" i="31"/>
  <c r="CF4" i="31"/>
  <c r="BS6" i="31" l="1"/>
  <c r="BS7" i="31" s="1"/>
  <c r="BS8" i="31" s="1"/>
  <c r="BS9" i="31" s="1"/>
  <c r="BS10" i="31" s="1"/>
  <c r="BS11" i="31" s="1"/>
  <c r="BS12" i="31" s="1"/>
  <c r="BS13" i="31" s="1"/>
  <c r="BS14" i="31" s="1"/>
  <c r="BS15" i="31" s="1"/>
  <c r="BS16" i="31" s="1"/>
  <c r="BS17" i="31" s="1"/>
  <c r="BD7" i="31"/>
  <c r="BD8" i="31" s="1"/>
  <c r="BD9" i="31" s="1"/>
  <c r="BD10" i="31" s="1"/>
  <c r="BD11" i="31" s="1"/>
  <c r="BD12" i="31" s="1"/>
  <c r="BD13" i="31" s="1"/>
  <c r="BD14" i="31" s="1"/>
  <c r="BD15" i="31" s="1"/>
  <c r="BD16" i="31" s="1"/>
  <c r="BD17" i="31" s="1"/>
  <c r="AU5" i="25"/>
  <c r="AU4" i="25"/>
  <c r="K7" i="31"/>
  <c r="K8" i="31" s="1"/>
  <c r="K9" i="31" s="1"/>
  <c r="K10" i="31" s="1"/>
  <c r="K11" i="31" s="1"/>
  <c r="K12" i="31" s="1"/>
  <c r="K13" i="31" s="1"/>
  <c r="K14" i="31" s="1"/>
  <c r="K15" i="31" s="1"/>
  <c r="K16" i="31" s="1"/>
  <c r="K17" i="31" s="1"/>
  <c r="BN7" i="31"/>
  <c r="BN8" i="31" s="1"/>
  <c r="BN9" i="31" s="1"/>
  <c r="BN10" i="31" s="1"/>
  <c r="BN11" i="31" s="1"/>
  <c r="BN12" i="31" s="1"/>
  <c r="BN13" i="31" s="1"/>
  <c r="BN14" i="31" s="1"/>
  <c r="BN15" i="31" s="1"/>
  <c r="BN16" i="31" s="1"/>
  <c r="BN17" i="31" s="1"/>
  <c r="BX3" i="31"/>
  <c r="F5" i="31"/>
  <c r="CH5" i="31"/>
  <c r="CC5" i="31"/>
  <c r="P5" i="31"/>
  <c r="AT5" i="31"/>
  <c r="AO5" i="31"/>
  <c r="AJ5" i="31"/>
  <c r="AE5" i="31"/>
  <c r="Z8" i="31"/>
  <c r="Z9" i="31" s="1"/>
  <c r="Z10" i="31" s="1"/>
  <c r="Z11" i="31" s="1"/>
  <c r="Z12" i="31" s="1"/>
  <c r="Z13" i="31" s="1"/>
  <c r="Z14" i="31" s="1"/>
  <c r="Z15" i="31" s="1"/>
  <c r="Z16" i="31" s="1"/>
  <c r="Z17" i="31" s="1"/>
  <c r="U5" i="31"/>
  <c r="CH6" i="31" l="1"/>
  <c r="CH7" i="31" s="1"/>
  <c r="CH8" i="31" s="1"/>
  <c r="CH9" i="31" s="1"/>
  <c r="CH10" i="31" s="1"/>
  <c r="CH11" i="31" s="1"/>
  <c r="CH12" i="31" s="1"/>
  <c r="CH13" i="31" s="1"/>
  <c r="CH14" i="31" s="1"/>
  <c r="CH15" i="31" s="1"/>
  <c r="CH16" i="31" s="1"/>
  <c r="CH17" i="31" s="1"/>
  <c r="P6" i="31"/>
  <c r="P7" i="31" s="1"/>
  <c r="P8" i="31" s="1"/>
  <c r="P9" i="31" s="1"/>
  <c r="P10" i="31" s="1"/>
  <c r="P11" i="31" s="1"/>
  <c r="P12" i="31" s="1"/>
  <c r="P13" i="31" s="1"/>
  <c r="P14" i="31" s="1"/>
  <c r="P15" i="31" s="1"/>
  <c r="P16" i="31" s="1"/>
  <c r="P17" i="31" s="1"/>
  <c r="AT6" i="31"/>
  <c r="AT7" i="31" s="1"/>
  <c r="AT8" i="31" s="1"/>
  <c r="AT9" i="31" s="1"/>
  <c r="AT10" i="31" s="1"/>
  <c r="AT11" i="31" s="1"/>
  <c r="AT12" i="31" s="1"/>
  <c r="AT13" i="31" s="1"/>
  <c r="AT14" i="31" s="1"/>
  <c r="AT15" i="31" s="1"/>
  <c r="AT16" i="31" s="1"/>
  <c r="AT17" i="31" s="1"/>
  <c r="F6" i="31"/>
  <c r="U6" i="31"/>
  <c r="U8" i="31" s="1"/>
  <c r="U9" i="31" s="1"/>
  <c r="U10" i="31" s="1"/>
  <c r="U11" i="31" s="1"/>
  <c r="U12" i="31" s="1"/>
  <c r="U13" i="31" s="1"/>
  <c r="U14" i="31" s="1"/>
  <c r="U15" i="31" s="1"/>
  <c r="U16" i="31" s="1"/>
  <c r="U17" i="31" s="1"/>
  <c r="AE6" i="31"/>
  <c r="AE8" i="31" s="1"/>
  <c r="AE9" i="31" s="1"/>
  <c r="AE10" i="31" s="1"/>
  <c r="AE11" i="31" s="1"/>
  <c r="AE12" i="31" s="1"/>
  <c r="AE13" i="31" s="1"/>
  <c r="AE14" i="31" s="1"/>
  <c r="AE15" i="31" s="1"/>
  <c r="AE16" i="31" s="1"/>
  <c r="AE17" i="31" s="1"/>
  <c r="AJ6" i="31"/>
  <c r="AJ8" i="31" s="1"/>
  <c r="AJ9" i="31" s="1"/>
  <c r="AJ10" i="31" s="1"/>
  <c r="AJ11" i="31" s="1"/>
  <c r="AJ12" i="31" s="1"/>
  <c r="AJ13" i="31" s="1"/>
  <c r="AJ14" i="31" s="1"/>
  <c r="AJ15" i="31" s="1"/>
  <c r="AJ16" i="31" s="1"/>
  <c r="AJ17" i="31" s="1"/>
  <c r="CC6" i="31"/>
  <c r="CC7" i="31" s="1"/>
  <c r="CC8" i="31" s="1"/>
  <c r="CC9" i="31" s="1"/>
  <c r="CC10" i="31" s="1"/>
  <c r="CC11" i="31" s="1"/>
  <c r="CC12" i="31" s="1"/>
  <c r="CC13" i="31" s="1"/>
  <c r="CC14" i="31" s="1"/>
  <c r="CC15" i="31" s="1"/>
  <c r="CC16" i="31" s="1"/>
  <c r="CC17" i="31" s="1"/>
  <c r="AO6" i="31"/>
  <c r="BX4" i="31"/>
  <c r="BX5" i="31" s="1"/>
  <c r="BI5" i="31"/>
  <c r="AY5" i="31"/>
  <c r="O29" i="21"/>
  <c r="U30" i="21"/>
  <c r="AO8" i="31" l="1"/>
  <c r="AO9" i="31" s="1"/>
  <c r="AO10" i="31" s="1"/>
  <c r="AO11" i="31" s="1"/>
  <c r="AO12" i="31" s="1"/>
  <c r="AO13" i="31" s="1"/>
  <c r="AO14" i="31" s="1"/>
  <c r="AO15" i="31" s="1"/>
  <c r="AO16" i="31" s="1"/>
  <c r="AO17" i="31" s="1"/>
  <c r="AO19" i="31"/>
  <c r="AY6" i="31"/>
  <c r="AY7" i="31" s="1"/>
  <c r="AY8" i="31" s="1"/>
  <c r="AY9" i="31" s="1"/>
  <c r="AY10" i="31" s="1"/>
  <c r="AY11" i="31" s="1"/>
  <c r="AY12" i="31" s="1"/>
  <c r="AY13" i="31" s="1"/>
  <c r="AY14" i="31" s="1"/>
  <c r="AY15" i="31" s="1"/>
  <c r="AY16" i="31" s="1"/>
  <c r="AY17" i="31" s="1"/>
  <c r="BI6" i="31"/>
  <c r="BI7" i="31" s="1"/>
  <c r="BI8" i="31" s="1"/>
  <c r="BI9" i="31" s="1"/>
  <c r="BI10" i="31" s="1"/>
  <c r="BI11" i="31" s="1"/>
  <c r="BI12" i="31" s="1"/>
  <c r="BI13" i="31" s="1"/>
  <c r="BI14" i="31" s="1"/>
  <c r="BI15" i="31" s="1"/>
  <c r="BI16" i="31" s="1"/>
  <c r="BI17" i="31" s="1"/>
  <c r="BX6" i="31"/>
  <c r="BX7" i="31" s="1"/>
  <c r="BX8" i="31" s="1"/>
  <c r="BX9" i="31" s="1"/>
  <c r="BX10" i="31" s="1"/>
  <c r="BX11" i="31" s="1"/>
  <c r="BX12" i="31" s="1"/>
  <c r="BX13" i="31" s="1"/>
  <c r="BX14" i="31" s="1"/>
  <c r="BX15" i="31" s="1"/>
  <c r="BX16" i="31" s="1"/>
  <c r="BX17" i="31" s="1"/>
  <c r="F7" i="31"/>
  <c r="F8" i="31" s="1"/>
  <c r="F9" i="31" s="1"/>
  <c r="F10" i="31" s="1"/>
  <c r="F11" i="31" s="1"/>
  <c r="F12" i="31" s="1"/>
  <c r="F13" i="31" s="1"/>
  <c r="F14" i="31" s="1"/>
  <c r="F15" i="31" s="1"/>
  <c r="F16" i="31" s="1"/>
  <c r="F17" i="31" s="1"/>
  <c r="D8" i="31"/>
  <c r="Q29" i="21"/>
  <c r="R29" i="21" l="1"/>
  <c r="S29" i="21" s="1"/>
  <c r="T30" i="21" s="1"/>
  <c r="I57" i="13"/>
  <c r="Y10" i="21"/>
  <c r="Z10" i="21"/>
  <c r="AA10" i="21"/>
  <c r="H10" i="21"/>
  <c r="J11" i="21"/>
  <c r="K11" i="21"/>
  <c r="V11" i="21"/>
  <c r="I291" i="13"/>
  <c r="D279" i="13"/>
  <c r="I279" i="13" s="1"/>
  <c r="D278" i="13"/>
  <c r="I278" i="13" s="1"/>
  <c r="D277" i="13"/>
  <c r="I277" i="13" s="1"/>
  <c r="D276" i="13"/>
  <c r="I276" i="13" s="1"/>
  <c r="D275" i="13"/>
  <c r="I275" i="13" s="1"/>
  <c r="D274" i="13"/>
  <c r="I274" i="13" s="1"/>
  <c r="D273" i="13"/>
  <c r="I273" i="13" s="1"/>
  <c r="D272" i="13"/>
  <c r="I272" i="13" s="1"/>
  <c r="D271" i="13"/>
  <c r="I271" i="13" s="1"/>
  <c r="D270" i="13"/>
  <c r="I270" i="13" s="1"/>
  <c r="D269" i="13"/>
  <c r="I269" i="13" s="1"/>
  <c r="I266" i="13"/>
  <c r="I267" i="13" s="1"/>
  <c r="I147" i="13"/>
  <c r="E289" i="13"/>
  <c r="I289" i="13" s="1"/>
  <c r="E287" i="13"/>
  <c r="I287" i="13" s="1"/>
  <c r="I280" i="13"/>
  <c r="I281" i="13" l="1"/>
  <c r="F289" i="13"/>
  <c r="I293" i="13" l="1"/>
  <c r="I294" i="13" s="1"/>
  <c r="I7" i="29"/>
  <c r="I8" i="29"/>
  <c r="I9" i="29"/>
  <c r="E7" i="29"/>
  <c r="E8" i="29"/>
  <c r="E9" i="29"/>
  <c r="T8" i="29"/>
  <c r="T9" i="29"/>
  <c r="T10" i="29"/>
  <c r="T13" i="29"/>
  <c r="T14" i="29"/>
  <c r="T15" i="29"/>
  <c r="T16" i="29"/>
  <c r="T17" i="29"/>
  <c r="T18" i="29"/>
  <c r="T7" i="29"/>
  <c r="R7" i="29"/>
  <c r="P7" i="29"/>
  <c r="CD8" i="29"/>
  <c r="I10" i="29"/>
  <c r="E10" i="29"/>
  <c r="AL10" i="29"/>
  <c r="AA10" i="29"/>
  <c r="CJ5" i="29"/>
  <c r="CJ6" i="29" s="1"/>
  <c r="CJ7" i="29" s="1"/>
  <c r="CJ8" i="29" s="1"/>
  <c r="CJ9" i="29" s="1"/>
  <c r="CJ10" i="29" s="1"/>
  <c r="CI5" i="29"/>
  <c r="CI6" i="29" s="1"/>
  <c r="CI7" i="29" s="1"/>
  <c r="CI8" i="29" s="1"/>
  <c r="CI9" i="29" s="1"/>
  <c r="CI10" i="29" s="1"/>
  <c r="CI11" i="29" s="1"/>
  <c r="CI12" i="29" s="1"/>
  <c r="CI13" i="29" s="1"/>
  <c r="CK4" i="29"/>
  <c r="CK5" i="29" s="1"/>
  <c r="CK6" i="29" s="1"/>
  <c r="CK7" i="29" s="1"/>
  <c r="AR5" i="29"/>
  <c r="AR6" i="29" s="1"/>
  <c r="AR7" i="29" s="1"/>
  <c r="AR8" i="29" s="1"/>
  <c r="AR9" i="29" s="1"/>
  <c r="AR10" i="29" s="1"/>
  <c r="AR13" i="29" s="1"/>
  <c r="AQ5" i="29"/>
  <c r="AQ6" i="29" s="1"/>
  <c r="AQ7" i="29" s="1"/>
  <c r="AQ8" i="29" s="1"/>
  <c r="AQ9" i="29" s="1"/>
  <c r="AQ10" i="29" s="1"/>
  <c r="AQ13" i="29" s="1"/>
  <c r="AS4" i="29"/>
  <c r="AS5" i="29" s="1"/>
  <c r="AS6" i="29" s="1"/>
  <c r="AS7" i="29" s="1"/>
  <c r="AS8" i="29" s="1"/>
  <c r="AS9" i="29" s="1"/>
  <c r="AG5" i="29"/>
  <c r="AG6" i="29" s="1"/>
  <c r="AG7" i="29" s="1"/>
  <c r="AG8" i="29" s="1"/>
  <c r="AG9" i="29" s="1"/>
  <c r="AF5" i="29"/>
  <c r="AF6" i="29" s="1"/>
  <c r="AF7" i="29" s="1"/>
  <c r="AF8" i="29" s="1"/>
  <c r="AF9" i="29" s="1"/>
  <c r="AH4" i="29"/>
  <c r="AH5" i="29" s="1"/>
  <c r="AH6" i="29" s="1"/>
  <c r="AH7" i="29" s="1"/>
  <c r="AH8" i="29" s="1"/>
  <c r="AH9" i="29" s="1"/>
  <c r="V5" i="29"/>
  <c r="V6" i="29" s="1"/>
  <c r="V7" i="29" s="1"/>
  <c r="V8" i="29" s="1"/>
  <c r="V9" i="29" s="1"/>
  <c r="V10" i="29" s="1"/>
  <c r="V11" i="29" s="1"/>
  <c r="V12" i="29" s="1"/>
  <c r="U5" i="29"/>
  <c r="U6" i="29" s="1"/>
  <c r="U7" i="29" s="1"/>
  <c r="U8" i="29" s="1"/>
  <c r="U9" i="29" s="1"/>
  <c r="U10" i="29" s="1"/>
  <c r="U11" i="29" s="1"/>
  <c r="U12" i="29" s="1"/>
  <c r="W4" i="29"/>
  <c r="W5" i="29" s="1"/>
  <c r="N7" i="29"/>
  <c r="C6" i="29"/>
  <c r="I13" i="29"/>
  <c r="I14" i="29"/>
  <c r="I15" i="29"/>
  <c r="E6" i="29"/>
  <c r="E13" i="29"/>
  <c r="E14" i="29"/>
  <c r="E15" i="29"/>
  <c r="I6" i="29"/>
  <c r="K5" i="29"/>
  <c r="J5" i="29"/>
  <c r="J6" i="29" s="1"/>
  <c r="J7" i="29" s="1"/>
  <c r="J8" i="29" s="1"/>
  <c r="J9" i="29" s="1"/>
  <c r="J10" i="29" s="1"/>
  <c r="J13" i="29" s="1"/>
  <c r="L4" i="29"/>
  <c r="E5" i="29"/>
  <c r="F3" i="27"/>
  <c r="Q3" i="27"/>
  <c r="Q2" i="27"/>
  <c r="C3" i="27"/>
  <c r="B3" i="27"/>
  <c r="F3" i="28"/>
  <c r="F2" i="28"/>
  <c r="E3" i="27"/>
  <c r="AS10" i="29" l="1"/>
  <c r="AS13" i="29" s="1"/>
  <c r="AS14" i="29" s="1"/>
  <c r="AS15" i="29" s="1"/>
  <c r="AS16" i="29" s="1"/>
  <c r="AS17" i="29" s="1"/>
  <c r="AS18" i="29" s="1"/>
  <c r="CK8" i="29"/>
  <c r="CK9" i="29" s="1"/>
  <c r="CK10" i="29" s="1"/>
  <c r="CK11" i="29" s="1"/>
  <c r="CK12" i="29" s="1"/>
  <c r="CK13" i="29" s="1"/>
  <c r="L5" i="29"/>
  <c r="L6" i="29" s="1"/>
  <c r="L7" i="29" s="1"/>
  <c r="L8" i="29" s="1"/>
  <c r="L9" i="29" s="1"/>
  <c r="L10" i="29" s="1"/>
  <c r="L13" i="29" s="1"/>
  <c r="K6" i="29"/>
  <c r="K7" i="29" s="1"/>
  <c r="K8" i="29" s="1"/>
  <c r="K9" i="29" s="1"/>
  <c r="K10" i="29" s="1"/>
  <c r="K13" i="29" s="1"/>
  <c r="K14" i="29" s="1"/>
  <c r="K15" i="29" s="1"/>
  <c r="K16" i="29" s="1"/>
  <c r="K17" i="29" s="1"/>
  <c r="K18" i="29" s="1"/>
  <c r="I295" i="13"/>
  <c r="I296" i="13" s="1"/>
  <c r="AH10" i="29"/>
  <c r="AH13" i="29" s="1"/>
  <c r="AH14" i="29" s="1"/>
  <c r="AH15" i="29" s="1"/>
  <c r="AH16" i="29" s="1"/>
  <c r="AH17" i="29" s="1"/>
  <c r="AH18" i="29" s="1"/>
  <c r="AF10" i="29"/>
  <c r="AF13" i="29" s="1"/>
  <c r="AF14" i="29" s="1"/>
  <c r="AF15" i="29" s="1"/>
  <c r="AF16" i="29" s="1"/>
  <c r="AF17" i="29" s="1"/>
  <c r="AF18" i="29" s="1"/>
  <c r="AG10" i="29"/>
  <c r="AG13" i="29" s="1"/>
  <c r="AG14" i="29" s="1"/>
  <c r="AG15" i="29" s="1"/>
  <c r="AG16" i="29" s="1"/>
  <c r="AG17" i="29" s="1"/>
  <c r="AG18" i="29" s="1"/>
  <c r="W6" i="29"/>
  <c r="CI14" i="29"/>
  <c r="CI15" i="29" s="1"/>
  <c r="CI16" i="29" s="1"/>
  <c r="CI17" i="29" s="1"/>
  <c r="CI18" i="29" s="1"/>
  <c r="CJ14" i="29"/>
  <c r="CJ15" i="29" s="1"/>
  <c r="CJ16" i="29" s="1"/>
  <c r="CJ17" i="29" s="1"/>
  <c r="CJ18" i="29" s="1"/>
  <c r="AQ14" i="29"/>
  <c r="AQ15" i="29" s="1"/>
  <c r="AQ16" i="29" s="1"/>
  <c r="AQ17" i="29" s="1"/>
  <c r="AQ18" i="29" s="1"/>
  <c r="AR14" i="29"/>
  <c r="AR15" i="29" s="1"/>
  <c r="AR16" i="29" s="1"/>
  <c r="AR17" i="29" s="1"/>
  <c r="AR18" i="29" s="1"/>
  <c r="U13" i="29"/>
  <c r="U14" i="29" s="1"/>
  <c r="U15" i="29" s="1"/>
  <c r="U16" i="29" s="1"/>
  <c r="U17" i="29" s="1"/>
  <c r="U18" i="29" s="1"/>
  <c r="V13" i="29"/>
  <c r="V14" i="29" s="1"/>
  <c r="V15" i="29" s="1"/>
  <c r="V16" i="29" s="1"/>
  <c r="V17" i="29" s="1"/>
  <c r="V18" i="29" s="1"/>
  <c r="J14" i="29"/>
  <c r="J15" i="29" s="1"/>
  <c r="J16" i="29" s="1"/>
  <c r="J17" i="29" s="1"/>
  <c r="J18" i="29" s="1"/>
  <c r="H2" i="27"/>
  <c r="L2" i="27"/>
  <c r="L7" i="27" s="1"/>
  <c r="D3" i="27" s="1"/>
  <c r="H3" i="27" s="1"/>
  <c r="H4" i="27" s="1"/>
  <c r="CK14" i="29" l="1"/>
  <c r="CK15" i="29" s="1"/>
  <c r="CK16" i="29" s="1"/>
  <c r="CK17" i="29" s="1"/>
  <c r="CK18" i="29" s="1"/>
  <c r="W7" i="29"/>
  <c r="W8" i="29" s="1"/>
  <c r="W9" i="29" s="1"/>
  <c r="W10" i="29" s="1"/>
  <c r="I297" i="13"/>
  <c r="I298" i="13" s="1"/>
  <c r="L14" i="29"/>
  <c r="L15" i="29" s="1"/>
  <c r="L16" i="29" s="1"/>
  <c r="L17" i="29" s="1"/>
  <c r="L18" i="29" s="1"/>
  <c r="W11" i="29" l="1"/>
  <c r="W12" i="29" s="1"/>
  <c r="W13" i="29" s="1"/>
  <c r="W14" i="29" s="1"/>
  <c r="W15" i="29" s="1"/>
  <c r="W16" i="29" s="1"/>
  <c r="W17" i="29" s="1"/>
  <c r="W18" i="29" s="1"/>
  <c r="AQ60" i="25"/>
  <c r="AQ61" i="25" s="1"/>
  <c r="AQ62" i="25" s="1"/>
  <c r="AQ53" i="25"/>
  <c r="AQ54" i="25" s="1"/>
  <c r="AQ33" i="25" l="1"/>
  <c r="AQ34" i="25" s="1"/>
  <c r="AQ35" i="25" s="1"/>
  <c r="AQ36" i="25" s="1"/>
  <c r="AQ37" i="25" s="1"/>
  <c r="AQ38" i="25" s="1"/>
  <c r="AQ39" i="25" s="1"/>
  <c r="L33" i="25"/>
  <c r="H127" i="11"/>
  <c r="M122" i="11"/>
  <c r="R5" i="13"/>
  <c r="R6" i="13" s="1"/>
  <c r="O7" i="13"/>
  <c r="R7" i="13" s="1"/>
  <c r="O8" i="13"/>
  <c r="R8" i="13" s="1"/>
  <c r="R9" i="13"/>
  <c r="M16" i="13"/>
  <c r="R16" i="13" s="1"/>
  <c r="N18" i="13"/>
  <c r="R18" i="13" s="1"/>
  <c r="H130" i="17"/>
  <c r="H131" i="17"/>
  <c r="H136" i="17"/>
  <c r="H137" i="17"/>
  <c r="H138" i="17"/>
  <c r="H139" i="17"/>
  <c r="H140" i="17"/>
  <c r="H141" i="17"/>
  <c r="H142" i="17"/>
  <c r="H144" i="17" s="1"/>
  <c r="H143" i="17"/>
  <c r="H147" i="17"/>
  <c r="H148" i="17"/>
  <c r="H149" i="17"/>
  <c r="H150" i="17"/>
  <c r="D154" i="17"/>
  <c r="E154" i="17" s="1"/>
  <c r="H154" i="17" s="1"/>
  <c r="H89" i="17"/>
  <c r="H91" i="17" s="1"/>
  <c r="H90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8" i="17"/>
  <c r="H109" i="17"/>
  <c r="H110" i="17"/>
  <c r="H111" i="17"/>
  <c r="D115" i="17"/>
  <c r="E115" i="17"/>
  <c r="H115" i="17"/>
  <c r="H49" i="17"/>
  <c r="H50" i="17"/>
  <c r="H55" i="17"/>
  <c r="H56" i="17"/>
  <c r="H57" i="17"/>
  <c r="H58" i="17"/>
  <c r="H59" i="17"/>
  <c r="H60" i="17"/>
  <c r="H61" i="17"/>
  <c r="H62" i="17"/>
  <c r="H69" i="17"/>
  <c r="H70" i="17"/>
  <c r="H71" i="17"/>
  <c r="H72" i="17"/>
  <c r="D76" i="17"/>
  <c r="E76" i="17" s="1"/>
  <c r="H76" i="17" s="1"/>
  <c r="H201" i="11"/>
  <c r="H202" i="11"/>
  <c r="H203" i="11"/>
  <c r="H204" i="11"/>
  <c r="G205" i="11"/>
  <c r="H205" i="11" s="1"/>
  <c r="H206" i="11" s="1"/>
  <c r="H207" i="11"/>
  <c r="H208" i="11"/>
  <c r="H209" i="11"/>
  <c r="H210" i="11"/>
  <c r="H211" i="11"/>
  <c r="H212" i="11" s="1"/>
  <c r="H214" i="11"/>
  <c r="M164" i="11"/>
  <c r="M165" i="11"/>
  <c r="M166" i="11"/>
  <c r="K168" i="11"/>
  <c r="K169" i="11"/>
  <c r="M169" i="11" s="1"/>
  <c r="K170" i="11"/>
  <c r="M170" i="11" s="1"/>
  <c r="K171" i="11"/>
  <c r="M171" i="11" s="1"/>
  <c r="K172" i="11"/>
  <c r="M172" i="11"/>
  <c r="K173" i="11"/>
  <c r="M173" i="11"/>
  <c r="K175" i="11"/>
  <c r="M167" i="11" s="1"/>
  <c r="N178" i="11"/>
  <c r="L182" i="11"/>
  <c r="J192" i="11"/>
  <c r="K192" i="11"/>
  <c r="L192" i="11"/>
  <c r="L193" i="11"/>
  <c r="H167" i="11"/>
  <c r="H177" i="11" s="1"/>
  <c r="H168" i="11"/>
  <c r="H169" i="11"/>
  <c r="H170" i="11"/>
  <c r="H171" i="11"/>
  <c r="H172" i="11"/>
  <c r="H173" i="11"/>
  <c r="H174" i="11"/>
  <c r="H175" i="11"/>
  <c r="H176" i="11"/>
  <c r="H178" i="11"/>
  <c r="H179" i="11"/>
  <c r="H180" i="11"/>
  <c r="H181" i="11"/>
  <c r="H182" i="11" s="1"/>
  <c r="H183" i="11" s="1"/>
  <c r="D185" i="11"/>
  <c r="E185" i="11" s="1"/>
  <c r="H185" i="11" s="1"/>
  <c r="L126" i="11"/>
  <c r="N122" i="11" s="1"/>
  <c r="L133" i="11"/>
  <c r="M129" i="11" s="1"/>
  <c r="N129" i="11" s="1"/>
  <c r="L138" i="11"/>
  <c r="L142" i="11"/>
  <c r="H121" i="11"/>
  <c r="H122" i="11"/>
  <c r="H123" i="11"/>
  <c r="H128" i="11"/>
  <c r="H129" i="11"/>
  <c r="H130" i="11"/>
  <c r="H131" i="11"/>
  <c r="D132" i="11"/>
  <c r="E132" i="11"/>
  <c r="H132" i="11" s="1"/>
  <c r="H133" i="11"/>
  <c r="H134" i="11"/>
  <c r="H135" i="11"/>
  <c r="H136" i="11"/>
  <c r="H140" i="11"/>
  <c r="H141" i="11"/>
  <c r="H142" i="11"/>
  <c r="H143" i="11"/>
  <c r="D147" i="11"/>
  <c r="H147" i="11" s="1"/>
  <c r="M81" i="11"/>
  <c r="O81" i="11" s="1"/>
  <c r="P81" i="11" s="1"/>
  <c r="R81" i="11" s="1"/>
  <c r="M82" i="11"/>
  <c r="O82" i="11" s="1"/>
  <c r="P82" i="11" s="1"/>
  <c r="R82" i="11" s="1"/>
  <c r="M83" i="11"/>
  <c r="O83" i="11" s="1"/>
  <c r="P83" i="11" s="1"/>
  <c r="R83" i="11" s="1"/>
  <c r="M84" i="11"/>
  <c r="O84" i="11" s="1"/>
  <c r="P84" i="11" s="1"/>
  <c r="R84" i="11" s="1"/>
  <c r="M85" i="11"/>
  <c r="O85" i="11" s="1"/>
  <c r="P85" i="11" s="1"/>
  <c r="R85" i="11" s="1"/>
  <c r="M86" i="11"/>
  <c r="O86" i="11" s="1"/>
  <c r="P86" i="11" s="1"/>
  <c r="R86" i="11" s="1"/>
  <c r="M87" i="11"/>
  <c r="O87" i="11" s="1"/>
  <c r="P87" i="11" s="1"/>
  <c r="R87" i="11" s="1"/>
  <c r="M88" i="11"/>
  <c r="O88" i="11" s="1"/>
  <c r="P88" i="11" s="1"/>
  <c r="R88" i="11" s="1"/>
  <c r="M89" i="11"/>
  <c r="O89" i="11"/>
  <c r="P89" i="11" s="1"/>
  <c r="R89" i="11" s="1"/>
  <c r="M90" i="11"/>
  <c r="M91" i="11" s="1"/>
  <c r="O91" i="11" s="1"/>
  <c r="P91" i="11" s="1"/>
  <c r="R91" i="11" s="1"/>
  <c r="M92" i="11"/>
  <c r="O92" i="11" s="1"/>
  <c r="P92" i="11" s="1"/>
  <c r="R92" i="11" s="1"/>
  <c r="M93" i="11"/>
  <c r="O93" i="11" s="1"/>
  <c r="P93" i="11" s="1"/>
  <c r="R93" i="11" s="1"/>
  <c r="M94" i="11"/>
  <c r="O94" i="11" s="1"/>
  <c r="P94" i="11" s="1"/>
  <c r="R94" i="11" s="1"/>
  <c r="M95" i="11"/>
  <c r="O95" i="11" s="1"/>
  <c r="P95" i="11" s="1"/>
  <c r="R95" i="11" s="1"/>
  <c r="M96" i="11"/>
  <c r="O96" i="11" s="1"/>
  <c r="P96" i="11" s="1"/>
  <c r="R96" i="11" s="1"/>
  <c r="M97" i="11"/>
  <c r="O97" i="11" s="1"/>
  <c r="P97" i="11" s="1"/>
  <c r="R97" i="11" s="1"/>
  <c r="M98" i="11"/>
  <c r="M99" i="11" s="1"/>
  <c r="O99" i="11" s="1"/>
  <c r="P99" i="11" s="1"/>
  <c r="R99" i="11" s="1"/>
  <c r="O98" i="11"/>
  <c r="P98" i="11" s="1"/>
  <c r="R98" i="11" s="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100" i="11"/>
  <c r="H101" i="11"/>
  <c r="H102" i="11"/>
  <c r="H103" i="11"/>
  <c r="D107" i="11"/>
  <c r="E107" i="11"/>
  <c r="H107" i="11" s="1"/>
  <c r="H44" i="11"/>
  <c r="H46" i="11"/>
  <c r="H47" i="11"/>
  <c r="H48" i="11"/>
  <c r="H49" i="11"/>
  <c r="H50" i="11"/>
  <c r="H51" i="11"/>
  <c r="E52" i="11"/>
  <c r="H52" i="11" s="1"/>
  <c r="H53" i="11"/>
  <c r="H57" i="11"/>
  <c r="H58" i="11"/>
  <c r="H59" i="11"/>
  <c r="H60" i="11"/>
  <c r="D65" i="11"/>
  <c r="E65" i="11"/>
  <c r="I230" i="13"/>
  <c r="I231" i="13" s="1"/>
  <c r="I233" i="13"/>
  <c r="I234" i="13"/>
  <c r="I235" i="13"/>
  <c r="I236" i="13"/>
  <c r="I237" i="13"/>
  <c r="I238" i="13"/>
  <c r="I239" i="13"/>
  <c r="I243" i="13"/>
  <c r="I244" i="13"/>
  <c r="I245" i="13"/>
  <c r="I246" i="13"/>
  <c r="I187" i="13"/>
  <c r="I188" i="13" s="1"/>
  <c r="I190" i="13"/>
  <c r="I191" i="13"/>
  <c r="I192" i="13"/>
  <c r="I193" i="13"/>
  <c r="I194" i="13"/>
  <c r="I195" i="13"/>
  <c r="I196" i="13"/>
  <c r="I200" i="13"/>
  <c r="I201" i="13"/>
  <c r="E204" i="13"/>
  <c r="I204" i="13" s="1"/>
  <c r="I220" i="13"/>
  <c r="I149" i="13"/>
  <c r="I150" i="13"/>
  <c r="I151" i="13"/>
  <c r="I152" i="13"/>
  <c r="I153" i="13"/>
  <c r="I154" i="13"/>
  <c r="I155" i="13"/>
  <c r="I156" i="13"/>
  <c r="I157" i="13"/>
  <c r="I158" i="13"/>
  <c r="I159" i="13"/>
  <c r="I160" i="13"/>
  <c r="E167" i="13"/>
  <c r="I167" i="13" s="1"/>
  <c r="E169" i="13"/>
  <c r="F169" i="13" s="1"/>
  <c r="I97" i="13"/>
  <c r="I98" i="13"/>
  <c r="I99" i="13"/>
  <c r="I102" i="13"/>
  <c r="I103" i="13"/>
  <c r="F104" i="13"/>
  <c r="I104" i="13" s="1"/>
  <c r="F105" i="13"/>
  <c r="I105" i="13" s="1"/>
  <c r="I106" i="13"/>
  <c r="I107" i="13"/>
  <c r="I108" i="13"/>
  <c r="I109" i="13"/>
  <c r="I112" i="13"/>
  <c r="I113" i="13"/>
  <c r="F114" i="13"/>
  <c r="I114" i="13" s="1"/>
  <c r="F115" i="13"/>
  <c r="I115" i="13" s="1"/>
  <c r="I116" i="13"/>
  <c r="F117" i="13"/>
  <c r="I117" i="13" s="1"/>
  <c r="E121" i="13"/>
  <c r="I121" i="13" s="1"/>
  <c r="D122" i="13"/>
  <c r="E122" i="13" s="1"/>
  <c r="I122" i="13" s="1"/>
  <c r="E123" i="13"/>
  <c r="D124" i="13"/>
  <c r="E124" i="13" s="1"/>
  <c r="E127" i="13"/>
  <c r="I127" i="13" s="1"/>
  <c r="I137" i="13"/>
  <c r="I138" i="13" s="1"/>
  <c r="I52" i="13"/>
  <c r="I53" i="13"/>
  <c r="F56" i="13"/>
  <c r="H56" i="13"/>
  <c r="H57" i="13"/>
  <c r="F58" i="13"/>
  <c r="I58" i="13" s="1"/>
  <c r="F59" i="13"/>
  <c r="I59" i="13" s="1"/>
  <c r="I60" i="13"/>
  <c r="I61" i="13"/>
  <c r="I62" i="13"/>
  <c r="I63" i="13"/>
  <c r="I66" i="13"/>
  <c r="I67" i="13"/>
  <c r="F68" i="13"/>
  <c r="I68" i="13"/>
  <c r="F69" i="13"/>
  <c r="I69" i="13" s="1"/>
  <c r="I70" i="13"/>
  <c r="F71" i="13"/>
  <c r="I71" i="13" s="1"/>
  <c r="E75" i="13"/>
  <c r="I75" i="13" s="1"/>
  <c r="D76" i="13"/>
  <c r="E76" i="13" s="1"/>
  <c r="I76" i="13" s="1"/>
  <c r="E77" i="13"/>
  <c r="D78" i="13"/>
  <c r="E78" i="13" s="1"/>
  <c r="E81" i="13"/>
  <c r="I81" i="13" s="1"/>
  <c r="I240" i="13" l="1"/>
  <c r="R10" i="13"/>
  <c r="R20" i="13" s="1"/>
  <c r="F76" i="13"/>
  <c r="I247" i="13"/>
  <c r="I248" i="13" s="1"/>
  <c r="H134" i="17"/>
  <c r="H156" i="17" s="1"/>
  <c r="H112" i="17"/>
  <c r="H113" i="17" s="1"/>
  <c r="H151" i="17"/>
  <c r="H152" i="17" s="1"/>
  <c r="H53" i="17"/>
  <c r="H105" i="17"/>
  <c r="H66" i="17"/>
  <c r="H117" i="17"/>
  <c r="H73" i="17"/>
  <c r="H74" i="17" s="1"/>
  <c r="H78" i="17" s="1"/>
  <c r="H80" i="17" s="1"/>
  <c r="H81" i="17" s="1"/>
  <c r="H216" i="11"/>
  <c r="H144" i="11"/>
  <c r="H145" i="11" s="1"/>
  <c r="H104" i="11"/>
  <c r="H105" i="11" s="1"/>
  <c r="M168" i="11"/>
  <c r="O90" i="11"/>
  <c r="P90" i="11" s="1"/>
  <c r="R90" i="11" s="1"/>
  <c r="H187" i="11"/>
  <c r="H125" i="11"/>
  <c r="H149" i="11" s="1"/>
  <c r="M128" i="11"/>
  <c r="N128" i="11" s="1"/>
  <c r="M127" i="11"/>
  <c r="N127" i="11" s="1"/>
  <c r="M132" i="11"/>
  <c r="N132" i="11" s="1"/>
  <c r="M131" i="11"/>
  <c r="N131" i="11" s="1"/>
  <c r="M123" i="11"/>
  <c r="N123" i="11" s="1"/>
  <c r="M130" i="11"/>
  <c r="N130" i="11" s="1"/>
  <c r="M125" i="11"/>
  <c r="N125" i="11" s="1"/>
  <c r="M124" i="11"/>
  <c r="N124" i="11" s="1"/>
  <c r="H137" i="11"/>
  <c r="H99" i="11"/>
  <c r="H109" i="11" s="1"/>
  <c r="H111" i="11" s="1"/>
  <c r="H112" i="11" s="1"/>
  <c r="H54" i="11"/>
  <c r="H61" i="11"/>
  <c r="H62" i="11" s="1"/>
  <c r="I197" i="13"/>
  <c r="I208" i="13" s="1"/>
  <c r="I169" i="13"/>
  <c r="I161" i="13"/>
  <c r="I118" i="13"/>
  <c r="I54" i="13"/>
  <c r="I110" i="13"/>
  <c r="I100" i="13"/>
  <c r="I125" i="13"/>
  <c r="I56" i="13"/>
  <c r="I64" i="13" s="1"/>
  <c r="I72" i="13"/>
  <c r="I79" i="13"/>
  <c r="F122" i="13"/>
  <c r="D79" i="13"/>
  <c r="H7" i="11"/>
  <c r="I173" i="13" l="1"/>
  <c r="I171" i="13"/>
  <c r="I174" i="13" s="1"/>
  <c r="I175" i="13" s="1"/>
  <c r="I176" i="13" s="1"/>
  <c r="I252" i="13"/>
  <c r="I254" i="13" s="1"/>
  <c r="I255" i="13" s="1"/>
  <c r="I256" i="13" s="1"/>
  <c r="I257" i="13" s="1"/>
  <c r="H120" i="17"/>
  <c r="H121" i="17" s="1"/>
  <c r="H122" i="17" s="1"/>
  <c r="H158" i="17"/>
  <c r="H159" i="17" s="1"/>
  <c r="H119" i="17"/>
  <c r="H82" i="17"/>
  <c r="H83" i="17" s="1"/>
  <c r="H218" i="11"/>
  <c r="H219" i="11"/>
  <c r="H189" i="11"/>
  <c r="H190" i="11" s="1"/>
  <c r="H151" i="11"/>
  <c r="H152" i="11" s="1"/>
  <c r="H113" i="11"/>
  <c r="H114" i="11" s="1"/>
  <c r="H69" i="11"/>
  <c r="I210" i="13"/>
  <c r="I211" i="13" s="1"/>
  <c r="I212" i="13" s="1"/>
  <c r="I129" i="13"/>
  <c r="I131" i="13" s="1"/>
  <c r="I132" i="13" s="1"/>
  <c r="I83" i="13"/>
  <c r="I85" i="13" s="1"/>
  <c r="I86" i="13" s="1"/>
  <c r="H71" i="11" l="1"/>
  <c r="H72" i="11" s="1"/>
  <c r="H70" i="11"/>
  <c r="H160" i="17"/>
  <c r="H161" i="17" s="1"/>
  <c r="H123" i="17"/>
  <c r="H124" i="17" s="1"/>
  <c r="H84" i="17"/>
  <c r="H85" i="17" s="1"/>
  <c r="H220" i="11"/>
  <c r="H221" i="11" s="1"/>
  <c r="H191" i="11"/>
  <c r="H192" i="11" s="1"/>
  <c r="H153" i="11"/>
  <c r="H154" i="11" s="1"/>
  <c r="H115" i="11"/>
  <c r="H116" i="11" s="1"/>
  <c r="H73" i="11"/>
  <c r="I213" i="13"/>
  <c r="I214" i="13"/>
  <c r="J215" i="13" s="1"/>
  <c r="K223" i="13" s="1"/>
  <c r="I215" i="13"/>
  <c r="I216" i="13" s="1"/>
  <c r="I221" i="13"/>
  <c r="I177" i="13"/>
  <c r="I178" i="13" s="1"/>
  <c r="I133" i="13"/>
  <c r="I134" i="13" s="1"/>
  <c r="I87" i="13"/>
  <c r="I88" i="13" s="1"/>
  <c r="AJ34" i="21"/>
  <c r="P27" i="21"/>
  <c r="H74" i="11" l="1"/>
  <c r="H162" i="17"/>
  <c r="H163" i="17" s="1"/>
  <c r="H222" i="11"/>
  <c r="H223" i="11"/>
  <c r="H193" i="11"/>
  <c r="H194" i="11" s="1"/>
  <c r="H155" i="11"/>
  <c r="H156" i="11"/>
  <c r="W34" i="21"/>
  <c r="V52" i="21"/>
  <c r="P52" i="21"/>
  <c r="H51" i="21"/>
  <c r="H50" i="21"/>
  <c r="H49" i="21"/>
  <c r="M48" i="21"/>
  <c r="H48" i="21"/>
  <c r="V47" i="21"/>
  <c r="AA46" i="21"/>
  <c r="Z46" i="21"/>
  <c r="Y46" i="21"/>
  <c r="H46" i="21"/>
  <c r="H45" i="21"/>
  <c r="H44" i="21"/>
  <c r="H43" i="21"/>
  <c r="H42" i="21"/>
  <c r="M41" i="21"/>
  <c r="H41" i="21"/>
  <c r="V40" i="21"/>
  <c r="AA39" i="21"/>
  <c r="Z39" i="21"/>
  <c r="Y39" i="21"/>
  <c r="H39" i="21"/>
  <c r="K38" i="21"/>
  <c r="H38" i="21"/>
  <c r="H37" i="21"/>
  <c r="J36" i="21"/>
  <c r="H36" i="21"/>
  <c r="J35" i="21"/>
  <c r="H35" i="21"/>
  <c r="M34" i="21"/>
  <c r="H34" i="21"/>
  <c r="K19" i="11"/>
  <c r="AA34" i="21" l="1"/>
  <c r="Y34" i="21"/>
  <c r="Z34" i="21"/>
  <c r="M12" i="21"/>
  <c r="V22" i="21"/>
  <c r="Y21" i="21"/>
  <c r="AJ41" i="21"/>
  <c r="W41" i="21" s="1"/>
  <c r="AA41" i="21" s="1"/>
  <c r="AJ42" i="21"/>
  <c r="W42" i="21" s="1"/>
  <c r="Y42" i="21" s="1"/>
  <c r="AJ43" i="21"/>
  <c r="W43" i="21" s="1"/>
  <c r="AA43" i="21" s="1"/>
  <c r="AJ44" i="21"/>
  <c r="W44" i="21" s="1"/>
  <c r="AA44" i="21" s="1"/>
  <c r="AJ45" i="21"/>
  <c r="W45" i="21" s="1"/>
  <c r="Y45" i="21" s="1"/>
  <c r="AJ46" i="21"/>
  <c r="AJ47" i="21"/>
  <c r="AJ48" i="21"/>
  <c r="W48" i="21" s="1"/>
  <c r="AA48" i="21" s="1"/>
  <c r="AJ49" i="21"/>
  <c r="W49" i="21" s="1"/>
  <c r="AJ50" i="21"/>
  <c r="W50" i="21" s="1"/>
  <c r="AA50" i="21" s="1"/>
  <c r="AJ51" i="21"/>
  <c r="W51" i="21" s="1"/>
  <c r="Y51" i="21" s="1"/>
  <c r="AJ52" i="21"/>
  <c r="AJ35" i="21"/>
  <c r="W35" i="21" s="1"/>
  <c r="AA35" i="21" s="1"/>
  <c r="AJ36" i="21"/>
  <c r="W36" i="21" s="1"/>
  <c r="AA36" i="21" s="1"/>
  <c r="AJ37" i="21"/>
  <c r="W37" i="21" s="1"/>
  <c r="AJ38" i="21"/>
  <c r="W38" i="21" s="1"/>
  <c r="Z38" i="21" s="1"/>
  <c r="AA21" i="21"/>
  <c r="Z21" i="21"/>
  <c r="AA9" i="21"/>
  <c r="Z9" i="21"/>
  <c r="Y9" i="21"/>
  <c r="W24" i="21"/>
  <c r="W25" i="21"/>
  <c r="Z25" i="21" s="1"/>
  <c r="W26" i="21"/>
  <c r="W23" i="21"/>
  <c r="Z23" i="21" s="1"/>
  <c r="V27" i="21"/>
  <c r="W12" i="21"/>
  <c r="W13" i="21"/>
  <c r="AA13" i="21" s="1"/>
  <c r="W14" i="21"/>
  <c r="Y14" i="21" s="1"/>
  <c r="W18" i="21"/>
  <c r="AA18" i="21" s="1"/>
  <c r="W19" i="21"/>
  <c r="AA19" i="21" s="1"/>
  <c r="W4" i="21"/>
  <c r="W5" i="21"/>
  <c r="W6" i="21"/>
  <c r="W7" i="21"/>
  <c r="W8" i="21"/>
  <c r="Y8" i="21" s="1"/>
  <c r="H24" i="21"/>
  <c r="H25" i="21"/>
  <c r="H26" i="21"/>
  <c r="H23" i="21"/>
  <c r="H13" i="21"/>
  <c r="H14" i="21"/>
  <c r="H18" i="21"/>
  <c r="H19" i="21"/>
  <c r="H21" i="21"/>
  <c r="H12" i="21"/>
  <c r="H5" i="21"/>
  <c r="H4" i="21"/>
  <c r="H27" i="17"/>
  <c r="H28" i="17"/>
  <c r="H29" i="17"/>
  <c r="H26" i="17"/>
  <c r="N89" i="21" l="1"/>
  <c r="O89" i="21" s="1"/>
  <c r="Q89" i="21" s="1"/>
  <c r="R89" i="21" s="1"/>
  <c r="S89" i="21" s="1"/>
  <c r="T89" i="21" s="1"/>
  <c r="U89" i="21" s="1"/>
  <c r="N86" i="21"/>
  <c r="O86" i="21" s="1"/>
  <c r="N84" i="21"/>
  <c r="O84" i="21" s="1"/>
  <c r="Q84" i="21" s="1"/>
  <c r="R84" i="21" s="1"/>
  <c r="S84" i="21" s="1"/>
  <c r="T84" i="21" s="1"/>
  <c r="U84" i="21" s="1"/>
  <c r="N85" i="21"/>
  <c r="O85" i="21" s="1"/>
  <c r="N20" i="21"/>
  <c r="O20" i="21" s="1"/>
  <c r="N15" i="21"/>
  <c r="O15" i="21" s="1"/>
  <c r="N17" i="21"/>
  <c r="O17" i="21" s="1"/>
  <c r="N16" i="21"/>
  <c r="O16" i="21" s="1"/>
  <c r="Q16" i="21" s="1"/>
  <c r="R16" i="21" s="1"/>
  <c r="S16" i="21" s="1"/>
  <c r="T16" i="21" s="1"/>
  <c r="U16" i="21" s="1"/>
  <c r="N82" i="21"/>
  <c r="O82" i="21" s="1"/>
  <c r="N81" i="21"/>
  <c r="O81" i="21" s="1"/>
  <c r="N90" i="21"/>
  <c r="O90" i="21" s="1"/>
  <c r="N83" i="21"/>
  <c r="O83" i="21" s="1"/>
  <c r="N88" i="21"/>
  <c r="O88" i="21" s="1"/>
  <c r="N87" i="21"/>
  <c r="O87" i="21" s="1"/>
  <c r="AA42" i="21"/>
  <c r="N45" i="21"/>
  <c r="O45" i="21" s="1"/>
  <c r="Q45" i="21" s="1"/>
  <c r="Y35" i="21"/>
  <c r="Z35" i="21"/>
  <c r="Z44" i="21"/>
  <c r="W40" i="21"/>
  <c r="AA38" i="21"/>
  <c r="Y43" i="21"/>
  <c r="Y44" i="21"/>
  <c r="Y38" i="21"/>
  <c r="Y41" i="21"/>
  <c r="Z36" i="21"/>
  <c r="Z42" i="21"/>
  <c r="Y4" i="21"/>
  <c r="W11" i="21"/>
  <c r="W47" i="21"/>
  <c r="Y36" i="21"/>
  <c r="Y48" i="21"/>
  <c r="N46" i="21"/>
  <c r="N44" i="21"/>
  <c r="O44" i="21" s="1"/>
  <c r="Q44" i="21" s="1"/>
  <c r="N42" i="21"/>
  <c r="O42" i="21" s="1"/>
  <c r="Q42" i="21" s="1"/>
  <c r="S42" i="21" s="1"/>
  <c r="AD42" i="21" s="1"/>
  <c r="N41" i="21"/>
  <c r="O41" i="21" s="1"/>
  <c r="Q41" i="21" s="1"/>
  <c r="S41" i="21" s="1"/>
  <c r="AD41" i="21" s="1"/>
  <c r="Y50" i="21"/>
  <c r="AA45" i="21"/>
  <c r="Z45" i="21"/>
  <c r="Z41" i="21"/>
  <c r="N43" i="21"/>
  <c r="Z43" i="21"/>
  <c r="W52" i="21"/>
  <c r="AA37" i="21"/>
  <c r="Z37" i="21"/>
  <c r="Y37" i="21"/>
  <c r="Z50" i="21"/>
  <c r="Z48" i="21"/>
  <c r="AA51" i="21"/>
  <c r="Z51" i="21"/>
  <c r="AA49" i="21"/>
  <c r="AA52" i="21" s="1"/>
  <c r="Z49" i="21"/>
  <c r="Y49" i="21"/>
  <c r="H30" i="17"/>
  <c r="H31" i="17" s="1"/>
  <c r="Y13" i="21"/>
  <c r="W27" i="21"/>
  <c r="Z18" i="21"/>
  <c r="AA23" i="21"/>
  <c r="W22" i="21"/>
  <c r="Y18" i="21"/>
  <c r="Y19" i="21"/>
  <c r="Z19" i="21"/>
  <c r="AA14" i="21"/>
  <c r="Y12" i="21"/>
  <c r="Z14" i="21"/>
  <c r="Z12" i="21"/>
  <c r="Y23" i="21"/>
  <c r="AA12" i="21"/>
  <c r="Y25" i="21"/>
  <c r="Y24" i="21"/>
  <c r="Z26" i="21"/>
  <c r="Z24" i="21"/>
  <c r="Z13" i="21"/>
  <c r="AA26" i="21"/>
  <c r="AA25" i="21"/>
  <c r="AA24" i="21"/>
  <c r="Y26" i="21"/>
  <c r="Z7" i="21"/>
  <c r="AA4" i="21"/>
  <c r="Y7" i="21"/>
  <c r="AA7" i="21"/>
  <c r="AA6" i="21"/>
  <c r="Y6" i="21"/>
  <c r="Y5" i="21"/>
  <c r="AA5" i="21"/>
  <c r="Z4" i="21"/>
  <c r="Z8" i="21"/>
  <c r="Q85" i="21" l="1"/>
  <c r="R85" i="21" s="1"/>
  <c r="S85" i="21" s="1"/>
  <c r="T85" i="21" s="1"/>
  <c r="U85" i="21" s="1"/>
  <c r="Q86" i="21"/>
  <c r="R86" i="21"/>
  <c r="S86" i="21" s="1"/>
  <c r="T86" i="21" s="1"/>
  <c r="U86" i="21" s="1"/>
  <c r="Q17" i="21"/>
  <c r="R17" i="21"/>
  <c r="S17" i="21" s="1"/>
  <c r="T17" i="21" s="1"/>
  <c r="U17" i="21" s="1"/>
  <c r="Q15" i="21"/>
  <c r="R15" i="21" s="1"/>
  <c r="S15" i="21" s="1"/>
  <c r="T15" i="21" s="1"/>
  <c r="U15" i="21" s="1"/>
  <c r="AB41" i="21"/>
  <c r="Q20" i="21"/>
  <c r="Q87" i="21"/>
  <c r="R87" i="21" s="1"/>
  <c r="S87" i="21" s="1"/>
  <c r="T87" i="21" s="1"/>
  <c r="Q88" i="21"/>
  <c r="R88" i="21" s="1"/>
  <c r="S88" i="21" s="1"/>
  <c r="T88" i="21" s="1"/>
  <c r="Q83" i="21"/>
  <c r="R83" i="21" s="1"/>
  <c r="Q90" i="21"/>
  <c r="R90" i="21" s="1"/>
  <c r="S90" i="21" s="1"/>
  <c r="T90" i="21" s="1"/>
  <c r="U90" i="21" s="1"/>
  <c r="Q81" i="21"/>
  <c r="R81" i="21" s="1"/>
  <c r="Q82" i="21"/>
  <c r="R82" i="21" s="1"/>
  <c r="S82" i="21" s="1"/>
  <c r="AA40" i="21"/>
  <c r="Y47" i="21"/>
  <c r="Y11" i="21"/>
  <c r="AB45" i="21"/>
  <c r="Y52" i="21"/>
  <c r="AA47" i="21"/>
  <c r="W53" i="21"/>
  <c r="S44" i="21"/>
  <c r="AD44" i="21" s="1"/>
  <c r="Z52" i="21"/>
  <c r="Z47" i="21"/>
  <c r="R45" i="21"/>
  <c r="AC45" i="21" s="1"/>
  <c r="Y40" i="21"/>
  <c r="S45" i="21"/>
  <c r="AD45" i="21" s="1"/>
  <c r="Z40" i="21"/>
  <c r="R44" i="21"/>
  <c r="AC44" i="21" s="1"/>
  <c r="O46" i="21"/>
  <c r="AB46" i="21"/>
  <c r="AB44" i="21"/>
  <c r="AB43" i="21"/>
  <c r="O43" i="21"/>
  <c r="Q43" i="21" s="1"/>
  <c r="S43" i="21" s="1"/>
  <c r="AD43" i="21" s="1"/>
  <c r="R42" i="21"/>
  <c r="AC42" i="21" s="1"/>
  <c r="AB42" i="21"/>
  <c r="R41" i="21"/>
  <c r="AC41" i="21" s="1"/>
  <c r="Z27" i="21"/>
  <c r="W28" i="21"/>
  <c r="AA22" i="21"/>
  <c r="Y27" i="21"/>
  <c r="AA27" i="21"/>
  <c r="Y22" i="21"/>
  <c r="Z22" i="21"/>
  <c r="H19" i="11"/>
  <c r="H20" i="11"/>
  <c r="H21" i="11"/>
  <c r="H18" i="11"/>
  <c r="U88" i="21" l="1"/>
  <c r="X88" i="21"/>
  <c r="U87" i="21"/>
  <c r="X87" i="21"/>
  <c r="R20" i="21"/>
  <c r="S20" i="21" s="1"/>
  <c r="T20" i="21" s="1"/>
  <c r="U20" i="21" s="1"/>
  <c r="S83" i="21"/>
  <c r="T83" i="21" s="1"/>
  <c r="T82" i="21"/>
  <c r="S81" i="21"/>
  <c r="T81" i="21" s="1"/>
  <c r="Y53" i="21"/>
  <c r="Z53" i="21"/>
  <c r="AA53" i="21"/>
  <c r="AE44" i="21"/>
  <c r="AE45" i="21"/>
  <c r="AB47" i="21"/>
  <c r="T44" i="21"/>
  <c r="X44" i="21" s="1"/>
  <c r="T42" i="21"/>
  <c r="X42" i="21" s="1"/>
  <c r="T45" i="21"/>
  <c r="X45" i="21" s="1"/>
  <c r="R43" i="21"/>
  <c r="AC43" i="21" s="1"/>
  <c r="AE43" i="21" s="1"/>
  <c r="AE42" i="21"/>
  <c r="T41" i="21"/>
  <c r="X41" i="21" s="1"/>
  <c r="Q46" i="21"/>
  <c r="S46" i="21" s="1"/>
  <c r="AD46" i="21" s="1"/>
  <c r="AD47" i="21" s="1"/>
  <c r="Y28" i="21"/>
  <c r="H22" i="11"/>
  <c r="H23" i="11" s="1"/>
  <c r="AE41" i="21"/>
  <c r="H9" i="21"/>
  <c r="H6" i="21"/>
  <c r="H7" i="21"/>
  <c r="H8" i="21"/>
  <c r="M23" i="21"/>
  <c r="M4" i="21"/>
  <c r="H8" i="10"/>
  <c r="U82" i="21" l="1"/>
  <c r="X82" i="21"/>
  <c r="U83" i="21"/>
  <c r="X83" i="21"/>
  <c r="U81" i="21"/>
  <c r="X81" i="21"/>
  <c r="N78" i="21"/>
  <c r="O78" i="21" s="1"/>
  <c r="N79" i="21"/>
  <c r="O79" i="21" s="1"/>
  <c r="N73" i="21"/>
  <c r="O73" i="21" s="1"/>
  <c r="N74" i="21"/>
  <c r="O74" i="21" s="1"/>
  <c r="N75" i="21"/>
  <c r="O75" i="21" s="1"/>
  <c r="N76" i="21"/>
  <c r="O76" i="21" s="1"/>
  <c r="N77" i="21"/>
  <c r="O77" i="21" s="1"/>
  <c r="AF44" i="21"/>
  <c r="N58" i="21"/>
  <c r="O58" i="21" s="1"/>
  <c r="N62" i="21"/>
  <c r="O62" i="21" s="1"/>
  <c r="N59" i="21"/>
  <c r="O59" i="21" s="1"/>
  <c r="N60" i="21"/>
  <c r="O60" i="21" s="1"/>
  <c r="N61" i="21"/>
  <c r="O61" i="21" s="1"/>
  <c r="AF42" i="21"/>
  <c r="AF45" i="21"/>
  <c r="N10" i="21"/>
  <c r="T43" i="21"/>
  <c r="X43" i="21" s="1"/>
  <c r="AF43" i="21" s="1"/>
  <c r="U45" i="21"/>
  <c r="U42" i="21"/>
  <c r="U41" i="21"/>
  <c r="U44" i="21"/>
  <c r="N9" i="21"/>
  <c r="N37" i="21"/>
  <c r="N38" i="21"/>
  <c r="N39" i="21"/>
  <c r="N34" i="21"/>
  <c r="N36" i="21"/>
  <c r="N35" i="21"/>
  <c r="N48" i="21"/>
  <c r="N50" i="21"/>
  <c r="N51" i="21"/>
  <c r="N49" i="21"/>
  <c r="R46" i="21"/>
  <c r="AC46" i="21" s="1"/>
  <c r="AF41" i="21"/>
  <c r="N7" i="21"/>
  <c r="N4" i="21"/>
  <c r="N18" i="21"/>
  <c r="N14" i="21"/>
  <c r="AB14" i="21" s="1"/>
  <c r="N23" i="21"/>
  <c r="N24" i="21"/>
  <c r="N25" i="21"/>
  <c r="N26" i="21"/>
  <c r="N21" i="21"/>
  <c r="N19" i="21"/>
  <c r="N12" i="21"/>
  <c r="N13" i="21"/>
  <c r="N5" i="21"/>
  <c r="AB5" i="21" s="1"/>
  <c r="N6" i="21"/>
  <c r="AB6" i="21" s="1"/>
  <c r="N8" i="21"/>
  <c r="AB8" i="21" s="1"/>
  <c r="Q77" i="21" l="1"/>
  <c r="R77" i="21" s="1"/>
  <c r="S77" i="21" s="1"/>
  <c r="Q76" i="21"/>
  <c r="Q73" i="21"/>
  <c r="R73" i="21" s="1"/>
  <c r="Q79" i="21"/>
  <c r="R79" i="21"/>
  <c r="S79" i="21" s="1"/>
  <c r="Q75" i="21"/>
  <c r="R75" i="21" s="1"/>
  <c r="S75" i="21" s="1"/>
  <c r="Q74" i="21"/>
  <c r="R74" i="21" s="1"/>
  <c r="S74" i="21" s="1"/>
  <c r="Q78" i="21"/>
  <c r="R78" i="21" s="1"/>
  <c r="Q59" i="21"/>
  <c r="Q62" i="21"/>
  <c r="Q61" i="21"/>
  <c r="Q58" i="21"/>
  <c r="Q60" i="21"/>
  <c r="U43" i="21"/>
  <c r="AB10" i="21"/>
  <c r="O10" i="21"/>
  <c r="AC47" i="21"/>
  <c r="AE46" i="21"/>
  <c r="AE47" i="21" s="1"/>
  <c r="T46" i="21"/>
  <c r="X46" i="21" s="1"/>
  <c r="AB48" i="21"/>
  <c r="O48" i="21"/>
  <c r="N52" i="21"/>
  <c r="O51" i="21"/>
  <c r="AB51" i="21"/>
  <c r="AB39" i="21"/>
  <c r="O39" i="21"/>
  <c r="O49" i="21"/>
  <c r="AB49" i="21"/>
  <c r="O36" i="21"/>
  <c r="AB36" i="21"/>
  <c r="O38" i="21"/>
  <c r="AB38" i="21"/>
  <c r="O50" i="21"/>
  <c r="AB50" i="21"/>
  <c r="O35" i="21"/>
  <c r="AB35" i="21"/>
  <c r="O37" i="21"/>
  <c r="AB37" i="21"/>
  <c r="O34" i="21"/>
  <c r="AB34" i="21"/>
  <c r="AB4" i="21"/>
  <c r="N27" i="21"/>
  <c r="AB12" i="21"/>
  <c r="O12" i="21"/>
  <c r="O13" i="21"/>
  <c r="AB13" i="21"/>
  <c r="O19" i="21"/>
  <c r="AB19" i="21"/>
  <c r="O24" i="21"/>
  <c r="AB24" i="21"/>
  <c r="O21" i="21"/>
  <c r="AB21" i="21"/>
  <c r="O18" i="21"/>
  <c r="AB18" i="21"/>
  <c r="O25" i="21"/>
  <c r="AB25" i="21"/>
  <c r="O23" i="21"/>
  <c r="AB23" i="21"/>
  <c r="O14" i="21"/>
  <c r="O26" i="21"/>
  <c r="AB26" i="21"/>
  <c r="O9" i="21"/>
  <c r="AB9" i="21"/>
  <c r="O7" i="21"/>
  <c r="W61" i="21" s="1"/>
  <c r="AB7" i="21"/>
  <c r="O4" i="21"/>
  <c r="S73" i="21" l="1"/>
  <c r="T73" i="21" s="1"/>
  <c r="S78" i="21"/>
  <c r="T78" i="21" s="1"/>
  <c r="U78" i="21" s="1"/>
  <c r="T77" i="21"/>
  <c r="T75" i="21"/>
  <c r="T79" i="21"/>
  <c r="U79" i="21" s="1"/>
  <c r="T74" i="21"/>
  <c r="R76" i="21"/>
  <c r="S76" i="21" s="1"/>
  <c r="T76" i="21" s="1"/>
  <c r="W58" i="21"/>
  <c r="Q9" i="21"/>
  <c r="R9" i="21" s="1"/>
  <c r="AC9" i="21" s="1"/>
  <c r="Q13" i="21"/>
  <c r="R13" i="21" s="1"/>
  <c r="AC13" i="21" s="1"/>
  <c r="R61" i="21"/>
  <c r="S61" i="21" s="1"/>
  <c r="T61" i="21" s="1"/>
  <c r="V61" i="21" s="1"/>
  <c r="U61" i="21" s="1"/>
  <c r="Q23" i="21"/>
  <c r="R23" i="21" s="1"/>
  <c r="S23" i="21" s="1"/>
  <c r="R58" i="21"/>
  <c r="S58" i="21" s="1"/>
  <c r="T58" i="21" s="1"/>
  <c r="V58" i="21" s="1"/>
  <c r="U58" i="21" s="1"/>
  <c r="R60" i="21"/>
  <c r="S60" i="21" s="1"/>
  <c r="T60" i="21" s="1"/>
  <c r="V60" i="21" s="1"/>
  <c r="U60" i="21" s="1"/>
  <c r="R62" i="21"/>
  <c r="S62" i="21" s="1"/>
  <c r="T62" i="21" s="1"/>
  <c r="V62" i="21" s="1"/>
  <c r="U62" i="21" s="1"/>
  <c r="Q25" i="21"/>
  <c r="R25" i="21" s="1"/>
  <c r="AC25" i="21" s="1"/>
  <c r="S25" i="21"/>
  <c r="AD25" i="21" s="1"/>
  <c r="AE25" i="21" s="1"/>
  <c r="Q7" i="21"/>
  <c r="X61" i="21" s="1"/>
  <c r="R59" i="21"/>
  <c r="S59" i="21" s="1"/>
  <c r="T59" i="21" s="1"/>
  <c r="V59" i="21" s="1"/>
  <c r="U59" i="21" s="1"/>
  <c r="AB11" i="21"/>
  <c r="Q10" i="21"/>
  <c r="U46" i="21"/>
  <c r="AF46" i="21"/>
  <c r="AF47" i="21" s="1"/>
  <c r="X47" i="21"/>
  <c r="AB40" i="21"/>
  <c r="Q39" i="21"/>
  <c r="R39" i="21" s="1"/>
  <c r="AC39" i="21" s="1"/>
  <c r="Q35" i="21"/>
  <c r="R35" i="21" s="1"/>
  <c r="AC35" i="21" s="1"/>
  <c r="Q51" i="21"/>
  <c r="R51" i="21" s="1"/>
  <c r="AC51" i="21" s="1"/>
  <c r="AB52" i="21"/>
  <c r="Q37" i="21"/>
  <c r="S37" i="21" s="1"/>
  <c r="AD37" i="21" s="1"/>
  <c r="Q50" i="21"/>
  <c r="R50" i="21" s="1"/>
  <c r="AC50" i="21" s="1"/>
  <c r="Q49" i="21"/>
  <c r="S49" i="21" s="1"/>
  <c r="AD49" i="21" s="1"/>
  <c r="Q48" i="21"/>
  <c r="R48" i="21" s="1"/>
  <c r="O52" i="21"/>
  <c r="Q36" i="21"/>
  <c r="Q34" i="21"/>
  <c r="R34" i="21"/>
  <c r="AC34" i="21" s="1"/>
  <c r="Q38" i="21"/>
  <c r="S38" i="21" s="1"/>
  <c r="AD38" i="21" s="1"/>
  <c r="Q4" i="21"/>
  <c r="Q24" i="21"/>
  <c r="AB27" i="21"/>
  <c r="Q26" i="21"/>
  <c r="O27" i="21"/>
  <c r="Q21" i="21"/>
  <c r="R21" i="21" s="1"/>
  <c r="AC21" i="21" s="1"/>
  <c r="Q18" i="21"/>
  <c r="Q19" i="21"/>
  <c r="Q14" i="21"/>
  <c r="AB22" i="21"/>
  <c r="Q12" i="21"/>
  <c r="U73" i="21" l="1"/>
  <c r="X73" i="21"/>
  <c r="U76" i="21"/>
  <c r="X76" i="21"/>
  <c r="U74" i="21"/>
  <c r="X74" i="21"/>
  <c r="U75" i="21"/>
  <c r="X75" i="21"/>
  <c r="U77" i="21"/>
  <c r="X77" i="21"/>
  <c r="S51" i="21"/>
  <c r="AD51" i="21" s="1"/>
  <c r="AE51" i="21" s="1"/>
  <c r="R4" i="21"/>
  <c r="W57" i="21" s="1"/>
  <c r="X57" i="21" s="1"/>
  <c r="R7" i="21"/>
  <c r="AC7" i="21" s="1"/>
  <c r="S21" i="21"/>
  <c r="T21" i="21" s="1"/>
  <c r="S35" i="21"/>
  <c r="AD35" i="21" s="1"/>
  <c r="AE35" i="21" s="1"/>
  <c r="S13" i="21"/>
  <c r="T13" i="21" s="1"/>
  <c r="X13" i="21" s="1"/>
  <c r="S7" i="21"/>
  <c r="AD7" i="21" s="1"/>
  <c r="AE7" i="21" s="1"/>
  <c r="S9" i="21"/>
  <c r="AD9" i="21" s="1"/>
  <c r="X58" i="21"/>
  <c r="AB53" i="21"/>
  <c r="T23" i="21"/>
  <c r="U23" i="21" s="1"/>
  <c r="R10" i="21"/>
  <c r="AC10" i="21" s="1"/>
  <c r="R37" i="21"/>
  <c r="AC37" i="21" s="1"/>
  <c r="AE37" i="21" s="1"/>
  <c r="S34" i="21"/>
  <c r="AD34" i="21" s="1"/>
  <c r="AE34" i="21" s="1"/>
  <c r="S50" i="21"/>
  <c r="AD50" i="21" s="1"/>
  <c r="AE50" i="21" s="1"/>
  <c r="Q52" i="21"/>
  <c r="S48" i="21"/>
  <c r="R38" i="21"/>
  <c r="AC38" i="21" s="1"/>
  <c r="AE38" i="21" s="1"/>
  <c r="T38" i="21"/>
  <c r="R49" i="21"/>
  <c r="AC49" i="21" s="1"/>
  <c r="AE49" i="21" s="1"/>
  <c r="T35" i="21"/>
  <c r="AC48" i="21"/>
  <c r="S36" i="21"/>
  <c r="AD36" i="21" s="1"/>
  <c r="R36" i="21"/>
  <c r="AC36" i="21" s="1"/>
  <c r="S39" i="21"/>
  <c r="AD39" i="21" s="1"/>
  <c r="T25" i="21"/>
  <c r="U25" i="21" s="1"/>
  <c r="R26" i="21"/>
  <c r="AC26" i="21" s="1"/>
  <c r="AB28" i="21"/>
  <c r="R24" i="21"/>
  <c r="AC24" i="21" s="1"/>
  <c r="AD23" i="21"/>
  <c r="AC23" i="21"/>
  <c r="Q27" i="21"/>
  <c r="R12" i="21"/>
  <c r="T51" i="21" l="1"/>
  <c r="S4" i="21"/>
  <c r="T4" i="21" s="1"/>
  <c r="U4" i="21" s="1"/>
  <c r="S1" i="21"/>
  <c r="AE36" i="21"/>
  <c r="AE40" i="21" s="1"/>
  <c r="AC12" i="21"/>
  <c r="S12" i="21"/>
  <c r="AD12" i="21" s="1"/>
  <c r="T7" i="21"/>
  <c r="U7" i="21" s="1"/>
  <c r="AD13" i="21"/>
  <c r="AE13" i="21" s="1"/>
  <c r="AF13" i="21" s="1"/>
  <c r="T9" i="21"/>
  <c r="U9" i="21" s="1"/>
  <c r="S24" i="21"/>
  <c r="S10" i="21"/>
  <c r="S26" i="21"/>
  <c r="AD26" i="21" s="1"/>
  <c r="AE26" i="21" s="1"/>
  <c r="T39" i="21"/>
  <c r="U39" i="21" s="1"/>
  <c r="T34" i="21"/>
  <c r="X34" i="21" s="1"/>
  <c r="T37" i="21"/>
  <c r="X37" i="21" s="1"/>
  <c r="AF37" i="21" s="1"/>
  <c r="AD40" i="21"/>
  <c r="T50" i="21"/>
  <c r="T49" i="21"/>
  <c r="T36" i="21"/>
  <c r="X51" i="21"/>
  <c r="AF51" i="21" s="1"/>
  <c r="U51" i="21"/>
  <c r="X38" i="21"/>
  <c r="AF38" i="21" s="1"/>
  <c r="U38" i="21"/>
  <c r="AC52" i="21"/>
  <c r="AD48" i="21"/>
  <c r="AD52" i="21" s="1"/>
  <c r="S52" i="21"/>
  <c r="R52" i="21"/>
  <c r="T48" i="21"/>
  <c r="AC40" i="21"/>
  <c r="U35" i="21"/>
  <c r="X35" i="21"/>
  <c r="AF35" i="21" s="1"/>
  <c r="R27" i="21"/>
  <c r="AC4" i="21"/>
  <c r="AC27" i="21"/>
  <c r="AE23" i="21"/>
  <c r="X23" i="21"/>
  <c r="AD21" i="21"/>
  <c r="AE21" i="21" s="1"/>
  <c r="X25" i="21"/>
  <c r="AE12" i="21" l="1"/>
  <c r="Y58" i="21"/>
  <c r="U34" i="21"/>
  <c r="S27" i="21"/>
  <c r="AD24" i="21"/>
  <c r="X9" i="21"/>
  <c r="AF9" i="21" s="1"/>
  <c r="T10" i="21"/>
  <c r="AD10" i="21"/>
  <c r="T24" i="21"/>
  <c r="U24" i="21" s="1"/>
  <c r="T26" i="21"/>
  <c r="U26" i="21" s="1"/>
  <c r="Y61" i="21"/>
  <c r="T12" i="21"/>
  <c r="X12" i="21" s="1"/>
  <c r="X39" i="21"/>
  <c r="AF39" i="21" s="1"/>
  <c r="AD53" i="21"/>
  <c r="U37" i="21"/>
  <c r="X50" i="21"/>
  <c r="AF50" i="21" s="1"/>
  <c r="U50" i="21"/>
  <c r="AC53" i="21"/>
  <c r="X48" i="21"/>
  <c r="U48" i="21"/>
  <c r="T52" i="21"/>
  <c r="X36" i="21"/>
  <c r="AF36" i="21" s="1"/>
  <c r="U36" i="21"/>
  <c r="AF34" i="21"/>
  <c r="X49" i="21"/>
  <c r="AF49" i="21" s="1"/>
  <c r="U49" i="21"/>
  <c r="AE48" i="21"/>
  <c r="AE52" i="21" s="1"/>
  <c r="AE53" i="21" s="1"/>
  <c r="AD4" i="21"/>
  <c r="AF23" i="21"/>
  <c r="X21" i="21"/>
  <c r="AF21" i="21" s="1"/>
  <c r="U21" i="21"/>
  <c r="AF25" i="21"/>
  <c r="M20" i="10"/>
  <c r="R5" i="10"/>
  <c r="M15" i="10" s="1"/>
  <c r="R4" i="10"/>
  <c r="M10" i="10" s="1"/>
  <c r="U27" i="21" l="1"/>
  <c r="X24" i="21"/>
  <c r="T27" i="21"/>
  <c r="AE24" i="21"/>
  <c r="AE27" i="21" s="1"/>
  <c r="AD27" i="21"/>
  <c r="X10" i="21"/>
  <c r="AF10" i="21" s="1"/>
  <c r="U10" i="21"/>
  <c r="X26" i="21"/>
  <c r="AF26" i="21" s="1"/>
  <c r="X40" i="21"/>
  <c r="AF40" i="21"/>
  <c r="U52" i="21"/>
  <c r="X52" i="21"/>
  <c r="AF48" i="21"/>
  <c r="AF52" i="21" s="1"/>
  <c r="X4" i="21"/>
  <c r="AE4" i="21"/>
  <c r="X27" i="21" l="1"/>
  <c r="AF24" i="21"/>
  <c r="AF27" i="21" s="1"/>
  <c r="X53" i="21"/>
  <c r="AF53" i="21"/>
  <c r="AF4" i="21"/>
  <c r="R14" i="21" l="1"/>
  <c r="S14" i="21" s="1"/>
  <c r="R18" i="21"/>
  <c r="K8" i="21"/>
  <c r="AA8" i="21" s="1"/>
  <c r="AA11" i="21" s="1"/>
  <c r="AC18" i="21" l="1"/>
  <c r="S18" i="21"/>
  <c r="AA28" i="21"/>
  <c r="AC14" i="21"/>
  <c r="O8" i="21"/>
  <c r="R19" i="21"/>
  <c r="T14" i="21"/>
  <c r="H13" i="10"/>
  <c r="K40" i="13"/>
  <c r="J6" i="21"/>
  <c r="Z6" i="21" s="1"/>
  <c r="J5" i="21"/>
  <c r="Z5" i="21" s="1"/>
  <c r="AC19" i="21" l="1"/>
  <c r="AC22" i="21" s="1"/>
  <c r="S19" i="21"/>
  <c r="W62" i="21"/>
  <c r="Z11" i="21"/>
  <c r="Z28" i="21" s="1"/>
  <c r="AD18" i="21"/>
  <c r="AE18" i="21" s="1"/>
  <c r="T18" i="21"/>
  <c r="U18" i="21" s="1"/>
  <c r="AD14" i="21"/>
  <c r="Q8" i="21"/>
  <c r="X62" i="21" s="1"/>
  <c r="O5" i="21"/>
  <c r="O6" i="21"/>
  <c r="U13" i="21"/>
  <c r="H16" i="17"/>
  <c r="C19" i="17"/>
  <c r="C16" i="17"/>
  <c r="H13" i="17"/>
  <c r="E32" i="13"/>
  <c r="I32" i="13" s="1"/>
  <c r="H21" i="17"/>
  <c r="H20" i="17"/>
  <c r="H19" i="17"/>
  <c r="H18" i="17"/>
  <c r="H17" i="17"/>
  <c r="H15" i="17"/>
  <c r="H14" i="17"/>
  <c r="H8" i="17"/>
  <c r="H7" i="17"/>
  <c r="M5" i="17"/>
  <c r="N5" i="17"/>
  <c r="O5" i="17"/>
  <c r="L5" i="17"/>
  <c r="M13" i="17"/>
  <c r="N13" i="17"/>
  <c r="O13" i="17"/>
  <c r="L13" i="17"/>
  <c r="E34" i="13"/>
  <c r="I34" i="13" s="1"/>
  <c r="F25" i="13"/>
  <c r="I25" i="13" s="1"/>
  <c r="I24" i="13"/>
  <c r="F23" i="13"/>
  <c r="I23" i="13" s="1"/>
  <c r="F22" i="13"/>
  <c r="I22" i="13" s="1"/>
  <c r="I21" i="13"/>
  <c r="I20" i="13"/>
  <c r="I18" i="13"/>
  <c r="I17" i="13"/>
  <c r="I16" i="13"/>
  <c r="I15" i="13"/>
  <c r="F14" i="13"/>
  <c r="I14" i="13" s="1"/>
  <c r="F13" i="13"/>
  <c r="I13" i="13" s="1"/>
  <c r="I12" i="13"/>
  <c r="I11" i="13"/>
  <c r="I10" i="13"/>
  <c r="I8" i="13"/>
  <c r="I7" i="13"/>
  <c r="I5" i="13"/>
  <c r="W60" i="21" l="1"/>
  <c r="W59" i="21"/>
  <c r="H23" i="17"/>
  <c r="I9" i="13"/>
  <c r="I26" i="13"/>
  <c r="I19" i="13"/>
  <c r="T19" i="21"/>
  <c r="U19" i="21" s="1"/>
  <c r="R8" i="21"/>
  <c r="AC8" i="21" s="1"/>
  <c r="X18" i="21"/>
  <c r="AF18" i="21" s="1"/>
  <c r="AD19" i="21"/>
  <c r="AE19" i="21" s="1"/>
  <c r="X14" i="21"/>
  <c r="AE14" i="21"/>
  <c r="U14" i="21"/>
  <c r="Q6" i="21"/>
  <c r="X60" i="21" s="1"/>
  <c r="Q5" i="21"/>
  <c r="X59" i="21" s="1"/>
  <c r="AF12" i="21"/>
  <c r="U12" i="21"/>
  <c r="L30" i="13"/>
  <c r="H11" i="17"/>
  <c r="H35" i="17" s="1"/>
  <c r="H37" i="17" s="1"/>
  <c r="I29" i="13"/>
  <c r="S8" i="21" l="1"/>
  <c r="AD8" i="21" s="1"/>
  <c r="AE8" i="21" s="1"/>
  <c r="X19" i="21"/>
  <c r="W30" i="21"/>
  <c r="X30" i="21" s="1"/>
  <c r="I36" i="13"/>
  <c r="I38" i="13" s="1"/>
  <c r="I39" i="13" s="1"/>
  <c r="I40" i="13" s="1"/>
  <c r="I41" i="13" s="1"/>
  <c r="I42" i="13" s="1"/>
  <c r="K27" i="13"/>
  <c r="AE22" i="21"/>
  <c r="AD22" i="21"/>
  <c r="AF14" i="21"/>
  <c r="X22" i="21"/>
  <c r="AF19" i="21"/>
  <c r="X7" i="21"/>
  <c r="AF7" i="21" s="1"/>
  <c r="R5" i="21"/>
  <c r="S5" i="21" s="1"/>
  <c r="R6" i="21"/>
  <c r="AC6" i="21" s="1"/>
  <c r="H38" i="17"/>
  <c r="D25" i="11"/>
  <c r="E25" i="11" s="1"/>
  <c r="H14" i="11"/>
  <c r="E13" i="11"/>
  <c r="H13" i="11" s="1"/>
  <c r="H12" i="11"/>
  <c r="H11" i="11"/>
  <c r="H10" i="11"/>
  <c r="H9" i="11"/>
  <c r="H8" i="11"/>
  <c r="T8" i="21" l="1"/>
  <c r="Y62" i="21" s="1"/>
  <c r="S6" i="21"/>
  <c r="AD6" i="21" s="1"/>
  <c r="AE6" i="21" s="1"/>
  <c r="T5" i="21"/>
  <c r="Y59" i="21" s="1"/>
  <c r="AF22" i="21"/>
  <c r="AD5" i="21"/>
  <c r="AC5" i="21"/>
  <c r="AC11" i="21" s="1"/>
  <c r="H15" i="11"/>
  <c r="H27" i="11" s="1"/>
  <c r="H29" i="11" s="1"/>
  <c r="I43" i="13"/>
  <c r="H39" i="17"/>
  <c r="H40" i="17" s="1"/>
  <c r="H41" i="17" s="1"/>
  <c r="AD11" i="21" l="1"/>
  <c r="AD28" i="21" s="1"/>
  <c r="T6" i="21"/>
  <c r="X8" i="21"/>
  <c r="AF8" i="21" s="1"/>
  <c r="U8" i="21"/>
  <c r="X6" i="21"/>
  <c r="AF6" i="21" s="1"/>
  <c r="Y60" i="21"/>
  <c r="X5" i="21"/>
  <c r="U6" i="21"/>
  <c r="AC28" i="21"/>
  <c r="AE5" i="21"/>
  <c r="AE11" i="21" s="1"/>
  <c r="AE28" i="21" s="1"/>
  <c r="U5" i="21"/>
  <c r="H30" i="11"/>
  <c r="H31" i="11" s="1"/>
  <c r="H32" i="11" s="1"/>
  <c r="H42" i="17"/>
  <c r="X11" i="21" l="1"/>
  <c r="X28" i="21" s="1"/>
  <c r="AF5" i="21"/>
  <c r="AF11" i="21" s="1"/>
  <c r="AF28" i="21" s="1"/>
  <c r="H33" i="11"/>
  <c r="H34" i="11" s="1"/>
  <c r="E3" i="8" l="1"/>
  <c r="D3" i="8"/>
  <c r="S24" i="8"/>
  <c r="S13" i="8"/>
  <c r="S18" i="8" s="1"/>
  <c r="S28" i="8" s="1"/>
  <c r="J12" i="8"/>
  <c r="J13" i="8" s="1"/>
  <c r="J18" i="8" s="1"/>
  <c r="S12" i="8"/>
  <c r="J24" i="8"/>
  <c r="O26" i="8"/>
  <c r="S26" i="8" s="1"/>
  <c r="S21" i="8"/>
  <c r="S20" i="8"/>
  <c r="F24" i="8"/>
  <c r="F26" i="8"/>
  <c r="J26" i="8" s="1"/>
  <c r="F23" i="8"/>
  <c r="F22" i="8"/>
  <c r="F21" i="8"/>
  <c r="F20" i="8"/>
  <c r="J28" i="8" l="1"/>
  <c r="J30" i="8" s="1"/>
  <c r="J31" i="8" s="1"/>
  <c r="J32" i="8" s="1"/>
  <c r="S30" i="8"/>
  <c r="S31" i="8" s="1"/>
  <c r="S32" i="8" l="1"/>
  <c r="S33" i="8" s="1"/>
  <c r="J33" i="8" l="1"/>
  <c r="AL11" i="1" l="1"/>
  <c r="AK11" i="1"/>
  <c r="AJ11" i="1"/>
  <c r="AI11" i="1"/>
  <c r="AH11" i="1"/>
  <c r="AG11" i="1"/>
  <c r="AF11" i="1"/>
  <c r="AD11" i="1"/>
  <c r="AC11" i="1"/>
  <c r="AB11" i="1"/>
  <c r="AE11" i="1" s="1"/>
  <c r="B11" i="1"/>
  <c r="B9" i="1"/>
  <c r="J9" i="1" s="1"/>
  <c r="J10" i="1" s="1"/>
  <c r="J11" i="1" s="1"/>
  <c r="AM4" i="1"/>
  <c r="U4" i="1"/>
  <c r="T4" i="1"/>
  <c r="R4" i="1"/>
  <c r="C4" i="1"/>
  <c r="AM11" i="1" l="1"/>
  <c r="H9" i="1"/>
  <c r="H10" i="1" s="1"/>
  <c r="H11" i="1" s="1"/>
  <c r="I9" i="1"/>
  <c r="I10" i="1" s="1"/>
  <c r="I11" i="1" s="1"/>
  <c r="K11" i="1" l="1"/>
  <c r="AN11" i="1" s="1"/>
  <c r="AO11" i="1" s="1"/>
  <c r="AP1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B15" authorId="0" shapeId="0" xr:uid="{88808272-6E30-4B90-9DE6-31EA841360FB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5.29 өөс ажилласан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AQ53" authorId="0" shapeId="0" xr:uid="{3C20CCFC-3C1C-4519-AB60-ACDAD82B882A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4 нд хонь хуухалсан 8 нд 207 махыг дахин автоклаб нд оруулсан</t>
        </r>
      </text>
    </comment>
    <comment ref="H61" authorId="0" shapeId="0" xr:uid="{4176024B-83F6-48A5-AE8B-22C5FCCDEC64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гэдэс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CA7" authorId="0" shapeId="0" xr:uid="{CAE6C71B-A729-463D-A144-BB2DAD4D1D5F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5 яамаа авсан гэдэс</t>
        </r>
      </text>
    </comment>
    <comment ref="BF9" authorId="0" shapeId="0" xr:uid="{CBCCA326-8585-4284-B1E6-2F66DB77B8AC}">
      <text>
        <r>
          <rPr>
            <b/>
            <sz val="9"/>
            <color indexed="81"/>
            <rFont val="Tahoma"/>
            <charset val="1"/>
          </rPr>
          <t>acer:</t>
        </r>
        <r>
          <rPr>
            <sz val="9"/>
            <color indexed="81"/>
            <rFont val="Tahoma"/>
            <charset val="1"/>
          </rPr>
          <t xml:space="preserve">
Өлөн үзбек рүү гаргах гэж авсан ч гаргахаа болиод буцан тэрнээс 3 хайрцаг үлдсэн байсан үнэ гүй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AU6" authorId="0" shapeId="0" xr:uid="{9F47CC01-6357-4589-B52C-53369967F7FF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уутны хэмжээ 18-24</t>
        </r>
      </text>
    </comment>
    <comment ref="AX6" authorId="0" shapeId="0" xr:uid="{38309BBA-97F8-42F5-8B8A-E0FF5B8A74B0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Үйлдвэрт 20 
</t>
        </r>
      </text>
    </comment>
    <comment ref="BC6" authorId="0" shapeId="0" xr:uid="{41D340E0-E773-404C-85CF-9D45AC6A7085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Үйлдвэрт 20 50 оффис руу
</t>
        </r>
      </text>
    </comment>
    <comment ref="BE6" authorId="0" shapeId="0" xr:uid="{4A855CB6-FD8D-4020-AD8C-CA072F9B6DEF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Уутны хэмжээ 21-29</t>
        </r>
      </text>
    </comment>
    <comment ref="BH6" authorId="0" shapeId="0" xr:uid="{DAF309DA-7580-4260-9235-8A45AFB8C53E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Үйлдвэрт 20 
</t>
        </r>
      </text>
    </comment>
    <comment ref="BJ6" authorId="0" shapeId="0" xr:uid="{4EA42CE2-C66A-45FB-82F8-99DF03F5F3BD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Уутны хэмжээ 21-29</t>
        </r>
      </text>
    </comment>
    <comment ref="BM6" authorId="0" shapeId="0" xr:uid="{32AC4A31-28AE-45E2-8CAD-C2C46761A603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Үйлдвэрт 20 50 оффис руу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B3" authorId="0" shapeId="0" xr:uid="{642B87E1-DAE3-4FFD-987E-A76AC48360F1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уут</t>
        </r>
      </text>
    </comment>
  </commentList>
</comments>
</file>

<file path=xl/sharedStrings.xml><?xml version="1.0" encoding="utf-8"?>
<sst xmlns="http://schemas.openxmlformats.org/spreadsheetml/2006/main" count="2497" uniqueCount="579">
  <si>
    <t xml:space="preserve">түүий эд </t>
  </si>
  <si>
    <t>ТЭМ - ийн өртөг</t>
  </si>
  <si>
    <t>шошго</t>
  </si>
  <si>
    <t>1 удаагийн хэрэгсэл</t>
  </si>
  <si>
    <t>СББ-ийн өртөг</t>
  </si>
  <si>
    <t xml:space="preserve">Ажиллагаа </t>
  </si>
  <si>
    <t>ажиллагааны зардал</t>
  </si>
  <si>
    <t>ТОГТМОЛ ЗАРДАЛ</t>
  </si>
  <si>
    <t>нийт тогт зардал</t>
  </si>
  <si>
    <t>Автоклав-нэг удаа</t>
  </si>
  <si>
    <t>адууны өлөн</t>
  </si>
  <si>
    <t>адууны мах</t>
  </si>
  <si>
    <t xml:space="preserve">давс </t>
  </si>
  <si>
    <t xml:space="preserve">перц </t>
  </si>
  <si>
    <t xml:space="preserve">атлагч </t>
  </si>
  <si>
    <t xml:space="preserve">Төмс </t>
  </si>
  <si>
    <t>Лууван</t>
  </si>
  <si>
    <t>ус</t>
  </si>
  <si>
    <t>уут - улаан каз</t>
  </si>
  <si>
    <t>вакум уут- ногооны</t>
  </si>
  <si>
    <t>вакум уут- казны</t>
  </si>
  <si>
    <t>сав</t>
  </si>
  <si>
    <t>сэрээ</t>
  </si>
  <si>
    <t>салфетка-хуурай</t>
  </si>
  <si>
    <t>салфетка-нойтон</t>
  </si>
  <si>
    <t>чиглүүр</t>
  </si>
  <si>
    <t>бээлий</t>
  </si>
  <si>
    <t>хутга</t>
  </si>
  <si>
    <t>каз чихэх</t>
  </si>
  <si>
    <t>каз чанах</t>
  </si>
  <si>
    <t>хөргөөх</t>
  </si>
  <si>
    <t>хэрчих</t>
  </si>
  <si>
    <t>угаах</t>
  </si>
  <si>
    <t xml:space="preserve">савлах </t>
  </si>
  <si>
    <t>автоклав</t>
  </si>
  <si>
    <t>цахилгаан</t>
  </si>
  <si>
    <t>цалин</t>
  </si>
  <si>
    <t>нүүрс</t>
  </si>
  <si>
    <t>Ариутгал</t>
  </si>
  <si>
    <t xml:space="preserve">хангамж </t>
  </si>
  <si>
    <t>хоол</t>
  </si>
  <si>
    <t>Бинзин</t>
  </si>
  <si>
    <t>нийт зардал</t>
  </si>
  <si>
    <t>нэгж бүт өртөг</t>
  </si>
  <si>
    <t>ашгийн марж</t>
  </si>
  <si>
    <t>НЭАТ</t>
  </si>
  <si>
    <t>Борлуулалтын зардал</t>
  </si>
  <si>
    <t>үйлдвэрийн үнэ</t>
  </si>
  <si>
    <t>Үнэ - нэгжийн</t>
  </si>
  <si>
    <t>каз - 1ш</t>
  </si>
  <si>
    <t>как - 1 авт</t>
  </si>
  <si>
    <t>каз - 1сар</t>
  </si>
  <si>
    <t>Ногоо - 1ш</t>
  </si>
  <si>
    <t>Ногоо - 1 авт</t>
  </si>
  <si>
    <t>Ногоо - 1сард</t>
  </si>
  <si>
    <t>нийт үнэ</t>
  </si>
  <si>
    <t>1кг үнэ</t>
  </si>
  <si>
    <t>хэмжээ</t>
  </si>
  <si>
    <t xml:space="preserve">Бариултай </t>
  </si>
  <si>
    <t>Улаан том гадна тал</t>
  </si>
  <si>
    <t>ш</t>
  </si>
  <si>
    <t>Автоклав уут</t>
  </si>
  <si>
    <t>төмс лууван</t>
  </si>
  <si>
    <t>15.5*19</t>
  </si>
  <si>
    <t>Нимгэн уут</t>
  </si>
  <si>
    <t>нэг удаагийн хэрэгсэл</t>
  </si>
  <si>
    <t>кита, өрц мах</t>
  </si>
  <si>
    <t>чихсэн</t>
  </si>
  <si>
    <t>умс</t>
  </si>
  <si>
    <t>кг</t>
  </si>
  <si>
    <t>Лавровы лист</t>
  </si>
  <si>
    <t>Перц</t>
  </si>
  <si>
    <t>л</t>
  </si>
  <si>
    <t xml:space="preserve">сэрээ </t>
  </si>
  <si>
    <t>нэг удаа</t>
  </si>
  <si>
    <t>нарантуул-2</t>
  </si>
  <si>
    <t>салфетка</t>
  </si>
  <si>
    <t>нойтон</t>
  </si>
  <si>
    <t>барс</t>
  </si>
  <si>
    <t>хуурай</t>
  </si>
  <si>
    <t>чигчлүүр</t>
  </si>
  <si>
    <t>нэг удаа цаастай</t>
  </si>
  <si>
    <t>умс кита савлагаа</t>
  </si>
  <si>
    <t>умс кита автоклав</t>
  </si>
  <si>
    <t>ногоо савалгаа</t>
  </si>
  <si>
    <t>ногоо автоклав</t>
  </si>
  <si>
    <t>Тогтмол</t>
  </si>
  <si>
    <t>Ав-1</t>
  </si>
  <si>
    <t>НИЙТ</t>
  </si>
  <si>
    <t>вак-1</t>
  </si>
  <si>
    <t>хэрчилт-1</t>
  </si>
  <si>
    <t>ашиг-30%</t>
  </si>
  <si>
    <t>чанах-1</t>
  </si>
  <si>
    <t>НӨАТ-гүй үнэ</t>
  </si>
  <si>
    <t>савлалт-3</t>
  </si>
  <si>
    <t>НӨАТ</t>
  </si>
  <si>
    <t>НӨАТ-тэй үнэ</t>
  </si>
  <si>
    <t>27*36</t>
  </si>
  <si>
    <t>ашиг-50%</t>
  </si>
  <si>
    <t>Каз - 0.4</t>
  </si>
  <si>
    <t>каз</t>
  </si>
  <si>
    <t>адуу өлөн</t>
  </si>
  <si>
    <t>1 адууны өлөн</t>
  </si>
  <si>
    <t>адуу мах</t>
  </si>
  <si>
    <t>35840 зарагдах</t>
  </si>
  <si>
    <t>Цаасан хайрцаг</t>
  </si>
  <si>
    <t>гялгар уут</t>
  </si>
  <si>
    <t>Гурил -дээд</t>
  </si>
  <si>
    <t xml:space="preserve">Ургамлын тос </t>
  </si>
  <si>
    <t>Давс</t>
  </si>
  <si>
    <t xml:space="preserve">Ус </t>
  </si>
  <si>
    <t>МАХ - хонь</t>
  </si>
  <si>
    <t>өндөг</t>
  </si>
  <si>
    <t>сонгино</t>
  </si>
  <si>
    <t>чеснок</t>
  </si>
  <si>
    <t>хар перц</t>
  </si>
  <si>
    <t>гурил зуурах</t>
  </si>
  <si>
    <t>мах машиндах амтлах</t>
  </si>
  <si>
    <t xml:space="preserve">хуушуур чимэх </t>
  </si>
  <si>
    <t>хөлдөөх савлах</t>
  </si>
  <si>
    <t>хуушуур - 1кг -10ш</t>
  </si>
  <si>
    <t xml:space="preserve">Гурил </t>
  </si>
  <si>
    <t>улаанбаатар дээд</t>
  </si>
  <si>
    <t>1ш нь 60гр</t>
  </si>
  <si>
    <t xml:space="preserve">хонь ястай мах </t>
  </si>
  <si>
    <t>шулаа - 73%</t>
  </si>
  <si>
    <t>1ш хуушуур гр</t>
  </si>
  <si>
    <t>пергамент цаас</t>
  </si>
  <si>
    <t>зарагдах үнэ</t>
  </si>
  <si>
    <t>өртөг</t>
  </si>
  <si>
    <t>Толгой</t>
  </si>
  <si>
    <t>500гр</t>
  </si>
  <si>
    <t>400гр</t>
  </si>
  <si>
    <t>1000гр</t>
  </si>
  <si>
    <t>АДУУНЫ МАХ</t>
  </si>
  <si>
    <t>ЯСТАЙ МАХ -14000</t>
  </si>
  <si>
    <t>Бусад амтлагч</t>
  </si>
  <si>
    <t>мах автоклав</t>
  </si>
  <si>
    <t>хэрчилт-4</t>
  </si>
  <si>
    <t>мах хэрчих амтлах</t>
  </si>
  <si>
    <t>мах вакум</t>
  </si>
  <si>
    <t xml:space="preserve">Автоклавны хэмжээ -410гр тай </t>
  </si>
  <si>
    <t xml:space="preserve">Автоклавны хэмжээ -350гр тай </t>
  </si>
  <si>
    <t>Автоклав лааз</t>
  </si>
  <si>
    <t xml:space="preserve">Ø99 × 63 мм → 400–425 гр
</t>
  </si>
  <si>
    <t>Ø83 × 78 мм → 350–400 гр</t>
  </si>
  <si>
    <t>шулаад</t>
  </si>
  <si>
    <t>мах савлах, таглах</t>
  </si>
  <si>
    <t>Уламжлалт
Nomad traditional food</t>
  </si>
  <si>
    <t>Өдөр тутам 
Nomad froozn food</t>
  </si>
  <si>
    <t>Бууз</t>
  </si>
  <si>
    <t>Хуушуур</t>
  </si>
  <si>
    <t>Банш</t>
  </si>
  <si>
    <t xml:space="preserve">үхэр </t>
  </si>
  <si>
    <t>хонь</t>
  </si>
  <si>
    <t>дайвар</t>
  </si>
  <si>
    <t>Умс кита</t>
  </si>
  <si>
    <t>Бүтээгдэхүүний нэр</t>
  </si>
  <si>
    <t xml:space="preserve">Бүтээгдэхүүний үнэ </t>
  </si>
  <si>
    <t>900гр</t>
  </si>
  <si>
    <t>3кг</t>
  </si>
  <si>
    <t>3кг-1ш</t>
  </si>
  <si>
    <t>уут</t>
  </si>
  <si>
    <t>бүтээгдэхүүний ангилал</t>
  </si>
  <si>
    <t>анилалд эзлэх %</t>
  </si>
  <si>
    <t>жин</t>
  </si>
  <si>
    <t>Өдөр тутам  Nomad froozn food</t>
  </si>
  <si>
    <t>Гэр бүлийн Nomad kichen</t>
  </si>
  <si>
    <t>батлах</t>
  </si>
  <si>
    <t>сайжруулах</t>
  </si>
  <si>
    <t>СББ үнэ</t>
  </si>
  <si>
    <t>ТЭМ -ийн үнэ</t>
  </si>
  <si>
    <t>Гэр бүлийн 
Soule kichen</t>
  </si>
  <si>
    <t>хэвлэлттэй гялгар уур</t>
  </si>
  <si>
    <t>мах үхэр</t>
  </si>
  <si>
    <t>Сонгино</t>
  </si>
  <si>
    <t>Чеснок</t>
  </si>
  <si>
    <t>УС</t>
  </si>
  <si>
    <t>Гурил</t>
  </si>
  <si>
    <t xml:space="preserve">гарц </t>
  </si>
  <si>
    <t>Ширхэг</t>
  </si>
  <si>
    <t>Хонь мах</t>
  </si>
  <si>
    <t xml:space="preserve"> чимэх </t>
  </si>
  <si>
    <t>Хонь бууз</t>
  </si>
  <si>
    <t>Дайвар бууз - хийгсэн жор</t>
  </si>
  <si>
    <t xml:space="preserve">элэг </t>
  </si>
  <si>
    <t xml:space="preserve">бөөр </t>
  </si>
  <si>
    <t>зүрх</t>
  </si>
  <si>
    <t>гүзээ машиндсан</t>
  </si>
  <si>
    <t>гүзээ машиндаагүй</t>
  </si>
  <si>
    <t xml:space="preserve">орц </t>
  </si>
  <si>
    <t>уушги</t>
  </si>
  <si>
    <t xml:space="preserve">сүүл </t>
  </si>
  <si>
    <t>Бөөр өөх</t>
  </si>
  <si>
    <t xml:space="preserve">ус </t>
  </si>
  <si>
    <t xml:space="preserve">Перц </t>
  </si>
  <si>
    <t>гоньд</t>
  </si>
  <si>
    <t>гурил</t>
  </si>
  <si>
    <t>ширхэг</t>
  </si>
  <si>
    <t>Үхэр мах</t>
  </si>
  <si>
    <t>ҮХЭР бууз</t>
  </si>
  <si>
    <t>ашиг-20%</t>
  </si>
  <si>
    <t xml:space="preserve">1хүний норм өдөрт </t>
  </si>
  <si>
    <t xml:space="preserve">ЦАХИЛГААН </t>
  </si>
  <si>
    <t>УС - БОХИР</t>
  </si>
  <si>
    <t xml:space="preserve">НҮҮРС </t>
  </si>
  <si>
    <t>ТҮЛШ</t>
  </si>
  <si>
    <t>ЗАСВАР ҮЙЛЧИЛГЭЭ</t>
  </si>
  <si>
    <t>АРИУТГАЛ ЦЭВЭРЛЭГЭЭ</t>
  </si>
  <si>
    <t xml:space="preserve">ЗАХИРАЛ </t>
  </si>
  <si>
    <t>ШАГАЙ</t>
  </si>
  <si>
    <t>БААГИЙ</t>
  </si>
  <si>
    <t>ПҮҮЖЭЭ</t>
  </si>
  <si>
    <t>САЙШКА</t>
  </si>
  <si>
    <t>ДАВКА</t>
  </si>
  <si>
    <t>БЭХЭЭ</t>
  </si>
  <si>
    <t>ХООЛ</t>
  </si>
  <si>
    <t>ХАНГАМЖ</t>
  </si>
  <si>
    <t>ГУРИЛ</t>
  </si>
  <si>
    <t xml:space="preserve">УС </t>
  </si>
  <si>
    <t>ӨНДӨГ</t>
  </si>
  <si>
    <t>МАХ</t>
  </si>
  <si>
    <t>СОНИНО</t>
  </si>
  <si>
    <t>ДАВС</t>
  </si>
  <si>
    <t>ПЕРЦ</t>
  </si>
  <si>
    <t>ЧЕСНОК</t>
  </si>
  <si>
    <t>СҮҮЛ</t>
  </si>
  <si>
    <t>ХОРХОГ - 3000</t>
  </si>
  <si>
    <t>Шошго</t>
  </si>
  <si>
    <t>том ороодог</t>
  </si>
  <si>
    <t>Дээд талын бөөрөнхий</t>
  </si>
  <si>
    <t xml:space="preserve">лааз </t>
  </si>
  <si>
    <t>3л том лааз</t>
  </si>
  <si>
    <t>хорогны мах</t>
  </si>
  <si>
    <t xml:space="preserve">төмс </t>
  </si>
  <si>
    <t>Чулуунд халааж хороглох</t>
  </si>
  <si>
    <t>автоклав хийх</t>
  </si>
  <si>
    <t>шошголох</t>
  </si>
  <si>
    <t>1шуудай 40кг-100000төг</t>
  </si>
  <si>
    <t>1шуудай 40кг-90000төг</t>
  </si>
  <si>
    <t>Перц хар</t>
  </si>
  <si>
    <t xml:space="preserve">хонины ястай мах - 1кг </t>
  </si>
  <si>
    <t>1удаагийн автоклав 300ш орно</t>
  </si>
  <si>
    <t xml:space="preserve">лаазнд савлах </t>
  </si>
  <si>
    <t>номинд өгөх үнэ 89500</t>
  </si>
  <si>
    <t xml:space="preserve">гүзээ </t>
  </si>
  <si>
    <t>Бөөр өөх/сэмж</t>
  </si>
  <si>
    <t>гургалдай</t>
  </si>
  <si>
    <t>цус</t>
  </si>
  <si>
    <t>30*40</t>
  </si>
  <si>
    <t xml:space="preserve">хуйхалсан толгой </t>
  </si>
  <si>
    <t xml:space="preserve">шийр </t>
  </si>
  <si>
    <t>годон</t>
  </si>
  <si>
    <t>Толгой савлагаа</t>
  </si>
  <si>
    <t>Толгой автоклав</t>
  </si>
  <si>
    <t>дайвар чахах</t>
  </si>
  <si>
    <t xml:space="preserve">дайвар савлах </t>
  </si>
  <si>
    <t>вакумдах</t>
  </si>
  <si>
    <t>автоклавдах</t>
  </si>
  <si>
    <t xml:space="preserve">Толгой шийр годон </t>
  </si>
  <si>
    <t>тунгалаг</t>
  </si>
  <si>
    <t>1 кг</t>
  </si>
  <si>
    <t>1шуудай 38кг-90000төг</t>
  </si>
  <si>
    <t xml:space="preserve">ногоо угаах </t>
  </si>
  <si>
    <t xml:space="preserve">ногоо савлах </t>
  </si>
  <si>
    <t>ногоо вакум</t>
  </si>
  <si>
    <t>хор -ийн %</t>
  </si>
  <si>
    <t>бохир жин</t>
  </si>
  <si>
    <t>гүзээ ма-гүй</t>
  </si>
  <si>
    <t>гүзээ ма-сан</t>
  </si>
  <si>
    <t xml:space="preserve">1уут </t>
  </si>
  <si>
    <t>хоргодол</t>
  </si>
  <si>
    <t>5 цул бууз</t>
  </si>
  <si>
    <t>68гарц</t>
  </si>
  <si>
    <t>БАНШ бууз</t>
  </si>
  <si>
    <t>Орц</t>
  </si>
  <si>
    <t>%</t>
  </si>
  <si>
    <t>Үнэ/кг</t>
  </si>
  <si>
    <t>Дүн</t>
  </si>
  <si>
    <t>Гахайн хүзүү</t>
  </si>
  <si>
    <t>Гүчүжан</t>
  </si>
  <si>
    <t>Шар буурцагны соус</t>
  </si>
  <si>
    <t>Элсэн чихэр</t>
  </si>
  <si>
    <t>Сармис</t>
  </si>
  <si>
    <t>Гүнжидийн тос</t>
  </si>
  <si>
    <t>Хар перец</t>
  </si>
  <si>
    <t>Цагаан гаа</t>
  </si>
  <si>
    <t>ХЭВЛЭЛТТЭЙ УУТ</t>
  </si>
  <si>
    <t>ВАКУМ УУТ</t>
  </si>
  <si>
    <t>28*40</t>
  </si>
  <si>
    <t>3.5Л - 56700</t>
  </si>
  <si>
    <t>5Л - 66000</t>
  </si>
  <si>
    <t xml:space="preserve">МАХ ХЭРЧИХ </t>
  </si>
  <si>
    <t xml:space="preserve">МАХ АМТЛАХ </t>
  </si>
  <si>
    <t>СОУС НАЙРУУЛАХ</t>
  </si>
  <si>
    <t>САВЛАХ ХӨЛДӨӨХ</t>
  </si>
  <si>
    <t>АМТЛАСАН ГАХАЙН МАХ - ЖЭЮҮГ</t>
  </si>
  <si>
    <t>Тахианы далавч</t>
  </si>
  <si>
    <t>Терияки соус</t>
  </si>
  <si>
    <t>Гүнжид</t>
  </si>
  <si>
    <t>Тахианы цээж мах</t>
  </si>
  <si>
    <t>Шинэ сармис</t>
  </si>
  <si>
    <t>Шинэ цагаан гаа</t>
  </si>
  <si>
    <t>Элсэн чихэр / бор сахар</t>
  </si>
  <si>
    <t>АМТЛАСАН ТАХИАНЫ ЦЭЭЖ МАХ - ТРИЯКИ</t>
  </si>
  <si>
    <t>Тахианы гуяны цул мах</t>
  </si>
  <si>
    <t>Гүчүгару / нунтаг улаан чинжүү</t>
  </si>
  <si>
    <t>ХАЛУУН НОГООТОЙ ТАХИА ГУЯ - ДАК КАЛБИ</t>
  </si>
  <si>
    <t>АМТЛАСАН ТАХИАНЫ ДАЛАВЧ (Korean Spicy Wings)</t>
  </si>
  <si>
    <t>Гүчүгару (солонгос нунтаг чинжүү)</t>
  </si>
  <si>
    <t>ТАХИАНЫ БУГАЛГА</t>
  </si>
  <si>
    <t>10% ийн НӨАТ</t>
  </si>
  <si>
    <t>элэг сүүл</t>
  </si>
  <si>
    <t>Дөлгөөн</t>
  </si>
  <si>
    <t>Баяраа</t>
  </si>
  <si>
    <t>Лаяа</t>
  </si>
  <si>
    <t>Уртаа</t>
  </si>
  <si>
    <t>манаач</t>
  </si>
  <si>
    <t>ЦАЛИН тогтмол</t>
  </si>
  <si>
    <t>тогооч</t>
  </si>
  <si>
    <t>Өдөрт үйлдвэрлэх хэмжээ</t>
  </si>
  <si>
    <t>Толгой - уут</t>
  </si>
  <si>
    <t>Казы - уут</t>
  </si>
  <si>
    <t>Умс кита - уут</t>
  </si>
  <si>
    <t>Таван цул - уут</t>
  </si>
  <si>
    <t>хорхог - лааз</t>
  </si>
  <si>
    <t xml:space="preserve">Хуушуур - хайрцаг </t>
  </si>
  <si>
    <t>Банш - уут</t>
  </si>
  <si>
    <t>элэг сүүл - хайрцаг</t>
  </si>
  <si>
    <t>750гр</t>
  </si>
  <si>
    <t>ББӨ</t>
  </si>
  <si>
    <t>Байгалмаа</t>
  </si>
  <si>
    <t>Захирал</t>
  </si>
  <si>
    <t>Пүрэвсүрэн</t>
  </si>
  <si>
    <t>Нягтлан бодогч</t>
  </si>
  <si>
    <t>Батцэцэг</t>
  </si>
  <si>
    <t>Алтаншагай</t>
  </si>
  <si>
    <t>Технологч</t>
  </si>
  <si>
    <t xml:space="preserve">Александр </t>
  </si>
  <si>
    <t>Үйлдвэр хариуцсан захирал</t>
  </si>
  <si>
    <t xml:space="preserve">Хандаа </t>
  </si>
  <si>
    <t>Нярав</t>
  </si>
  <si>
    <t>Даваасамбуу</t>
  </si>
  <si>
    <t>ХАБ</t>
  </si>
  <si>
    <t xml:space="preserve">Гантөмөр </t>
  </si>
  <si>
    <t xml:space="preserve">Жолооч </t>
  </si>
  <si>
    <t xml:space="preserve">Бямбажав </t>
  </si>
  <si>
    <t>Галч</t>
  </si>
  <si>
    <t>Бэхбат</t>
  </si>
  <si>
    <t xml:space="preserve">Ерлан </t>
  </si>
  <si>
    <t>туслах ажилтан</t>
  </si>
  <si>
    <t>Уртнасан</t>
  </si>
  <si>
    <t>Үйлчлэгч</t>
  </si>
  <si>
    <t>Нурлан</t>
  </si>
  <si>
    <t>Арьяа</t>
  </si>
  <si>
    <t>Гунсэн</t>
  </si>
  <si>
    <t>Зулаа</t>
  </si>
  <si>
    <t>Байраа</t>
  </si>
  <si>
    <t>Сараа</t>
  </si>
  <si>
    <t>Ерлан дүү</t>
  </si>
  <si>
    <t>Түвшин</t>
  </si>
  <si>
    <t>Тогтмол цалин</t>
  </si>
  <si>
    <t>Шууд  цалингийн зардал</t>
  </si>
  <si>
    <t>Тогооч</t>
  </si>
  <si>
    <t>Манаач</t>
  </si>
  <si>
    <t>Менежер ҮАМ</t>
  </si>
  <si>
    <t>Менежер Оффис</t>
  </si>
  <si>
    <t>ГЗ</t>
  </si>
  <si>
    <t>Сард үйлдвэрлэх хэмжээ</t>
  </si>
  <si>
    <t>номингийн борлуулалтын 24%</t>
  </si>
  <si>
    <t>суурь сав</t>
  </si>
  <si>
    <t>вакум уу</t>
  </si>
  <si>
    <t>сүүл</t>
  </si>
  <si>
    <t>элэг сүүл хэрчих</t>
  </si>
  <si>
    <t xml:space="preserve">элэг сүүл савлах </t>
  </si>
  <si>
    <t xml:space="preserve">элэг сүүл вакумдах </t>
  </si>
  <si>
    <t>үхрийн элэг</t>
  </si>
  <si>
    <t>хөлдөөх савлах, шошго</t>
  </si>
  <si>
    <t>1кг</t>
  </si>
  <si>
    <t>ХОРХОГ - 1000</t>
  </si>
  <si>
    <t>1л том лааз</t>
  </si>
  <si>
    <t>ойролцоо тооцоо</t>
  </si>
  <si>
    <t xml:space="preserve">1удаагийн автоклав </t>
  </si>
  <si>
    <t>орно</t>
  </si>
  <si>
    <t>Болуулалт 8%</t>
  </si>
  <si>
    <t>Сарын тогтмол зардал</t>
  </si>
  <si>
    <t>Сарын тогтмол зардал цех тус бүр %</t>
  </si>
  <si>
    <t>Тогтмол зардал бүрээгдэхүүн тус бүр</t>
  </si>
  <si>
    <t xml:space="preserve"> 5 ЦУЛ ууттай</t>
  </si>
  <si>
    <t>Ашиг %</t>
  </si>
  <si>
    <t>Ашиг төгрөг</t>
  </si>
  <si>
    <t>гурил элдэх</t>
  </si>
  <si>
    <t>Өдөрт үйлдвэрлэх нором</t>
  </si>
  <si>
    <t>Өдрийн нором</t>
  </si>
  <si>
    <t>1 сарын боруулалт төлөвлөгөө</t>
  </si>
  <si>
    <t>1 сарын ашиг төлөвлөгө</t>
  </si>
  <si>
    <t>Бүтээгдэхүүний хэмжээ</t>
  </si>
  <si>
    <t>1 Сарын өртөг</t>
  </si>
  <si>
    <t>Ногоо нэмэх</t>
  </si>
  <si>
    <t>Ажиллах хоног</t>
  </si>
  <si>
    <t>Сард үйлдвэрлэх хүтээгдэхүүний хэмжээ</t>
  </si>
  <si>
    <t>1 Өдөрт борлуулах хэмжээ</t>
  </si>
  <si>
    <t>1 сарын борлуулах хэмжээ</t>
  </si>
  <si>
    <t>соус 1800</t>
  </si>
  <si>
    <t xml:space="preserve">ногоо </t>
  </si>
  <si>
    <t>500 гр</t>
  </si>
  <si>
    <t>Толгой ногоо</t>
  </si>
  <si>
    <t>Огноо</t>
  </si>
  <si>
    <t>Бүтээгдэхүүний төрөл</t>
  </si>
  <si>
    <t>Нийт мах</t>
  </si>
  <si>
    <t xml:space="preserve">Үхэр </t>
  </si>
  <si>
    <t xml:space="preserve">Хонь </t>
  </si>
  <si>
    <t>Ямаа</t>
  </si>
  <si>
    <t>Хаягдал</t>
  </si>
  <si>
    <t>Өөх тос</t>
  </si>
  <si>
    <t>Бохир жин</t>
  </si>
  <si>
    <t>Цэвэр жин</t>
  </si>
  <si>
    <t>Үйлдвэрлэл</t>
  </si>
  <si>
    <t xml:space="preserve">Агуулах </t>
  </si>
  <si>
    <t>Нийт үйлдвэрлэл</t>
  </si>
  <si>
    <t>Оффис руу</t>
  </si>
  <si>
    <t>Агуулах үлдэгдэл</t>
  </si>
  <si>
    <t>Өдрийн гарц</t>
  </si>
  <si>
    <t>Хэмжих нэгж</t>
  </si>
  <si>
    <t>Банш туршилт</t>
  </si>
  <si>
    <t>Хэмжээ</t>
  </si>
  <si>
    <t>Нэмжих нэгж</t>
  </si>
  <si>
    <t xml:space="preserve">Ирсэн </t>
  </si>
  <si>
    <t xml:space="preserve">Явуулсан </t>
  </si>
  <si>
    <t xml:space="preserve">Төмс лууван </t>
  </si>
  <si>
    <t>Төмс</t>
  </si>
  <si>
    <t xml:space="preserve">Лууван </t>
  </si>
  <si>
    <t>Хорхог 3 кг</t>
  </si>
  <si>
    <t>5 цул гэдэс</t>
  </si>
  <si>
    <t>Лааз</t>
  </si>
  <si>
    <t>Акталсан</t>
  </si>
  <si>
    <t>Кг</t>
  </si>
  <si>
    <t xml:space="preserve">Ажилчдын нэрс </t>
  </si>
  <si>
    <t xml:space="preserve">Даваасамбуу </t>
  </si>
  <si>
    <t>а</t>
  </si>
  <si>
    <t>и</t>
  </si>
  <si>
    <t>Бямбажав</t>
  </si>
  <si>
    <t>Ерлан</t>
  </si>
  <si>
    <t>хагас</t>
  </si>
  <si>
    <t>Мөнхтуяа манаач нисэх</t>
  </si>
  <si>
    <t xml:space="preserve">Нямаа малчин </t>
  </si>
  <si>
    <t>Болдбаатар</t>
  </si>
  <si>
    <t xml:space="preserve">Наранбаатар туслах малчин </t>
  </si>
  <si>
    <t>Хандаа нярав</t>
  </si>
  <si>
    <t>Буянхишиг</t>
  </si>
  <si>
    <t xml:space="preserve">Нисхээс ирсэн </t>
  </si>
  <si>
    <t xml:space="preserve">Хорхог </t>
  </si>
  <si>
    <t xml:space="preserve">Ажилчид </t>
  </si>
  <si>
    <t>Давлаг</t>
  </si>
  <si>
    <t>Дэлгэр</t>
  </si>
  <si>
    <t>Бэхээ</t>
  </si>
  <si>
    <t>Еран</t>
  </si>
  <si>
    <t>Үлдэгдэл</t>
  </si>
  <si>
    <t xml:space="preserve">Үхсэн </t>
  </si>
  <si>
    <t>Нисэх буцаасан</t>
  </si>
  <si>
    <t xml:space="preserve">Зарсан </t>
  </si>
  <si>
    <t>Шилжсэн данс</t>
  </si>
  <si>
    <t xml:space="preserve">Онгоо </t>
  </si>
  <si>
    <t xml:space="preserve">Гүйлгээний утга </t>
  </si>
  <si>
    <t>Зардал</t>
  </si>
  <si>
    <t>Орлого</t>
  </si>
  <si>
    <t>Болор</t>
  </si>
  <si>
    <t>2026.07.09</t>
  </si>
  <si>
    <t xml:space="preserve">Дансны дугаар </t>
  </si>
  <si>
    <t>50 гэдэс 33.5</t>
  </si>
  <si>
    <t>2026.07.10</t>
  </si>
  <si>
    <t>51 гэдэс 33.5</t>
  </si>
  <si>
    <t>Хүмүүсд</t>
  </si>
  <si>
    <t xml:space="preserve">Огноо </t>
  </si>
  <si>
    <t xml:space="preserve">Орлого </t>
  </si>
  <si>
    <t xml:space="preserve">Зардал </t>
  </si>
  <si>
    <t xml:space="preserve">Хонь мах </t>
  </si>
  <si>
    <t xml:space="preserve">Ямаа мах </t>
  </si>
  <si>
    <t xml:space="preserve">Үлдэгдэл </t>
  </si>
  <si>
    <t xml:space="preserve">Үхэр мах </t>
  </si>
  <si>
    <t>Нэгж үнэ</t>
  </si>
  <si>
    <t>Нийт үнэ</t>
  </si>
  <si>
    <t xml:space="preserve">Кг </t>
  </si>
  <si>
    <t>Эхний үлдэгдэл</t>
  </si>
  <si>
    <t xml:space="preserve">Цувдаа </t>
  </si>
  <si>
    <t xml:space="preserve">Адууны мах </t>
  </si>
  <si>
    <t>Тос</t>
  </si>
  <si>
    <t xml:space="preserve"> 5 ЦУЛ ууттай 1000</t>
  </si>
  <si>
    <t>Таван цул - лааз</t>
  </si>
  <si>
    <t>Ашиг 40</t>
  </si>
  <si>
    <t>Толгойны уут улаан</t>
  </si>
  <si>
    <t>Бууз уут үхэр</t>
  </si>
  <si>
    <t>Бууз уут хонь</t>
  </si>
  <si>
    <t>Бууз уут дайвар</t>
  </si>
  <si>
    <t>Банш уут</t>
  </si>
  <si>
    <t>Хуушуур хайрцаг</t>
  </si>
  <si>
    <t>5 цул шошго бөөрөнхий</t>
  </si>
  <si>
    <t>5 цул шошго урт</t>
  </si>
  <si>
    <t>Хорхог шошго бөөрөнхий</t>
  </si>
  <si>
    <t>Хорхог шошго урт</t>
  </si>
  <si>
    <t>Зарлага</t>
  </si>
  <si>
    <t>2026.07.18</t>
  </si>
  <si>
    <t>2026.07.21</t>
  </si>
  <si>
    <t>2026.07.24</t>
  </si>
  <si>
    <t>Төмс лууван уут</t>
  </si>
  <si>
    <t>Хуушуур уут цаас</t>
  </si>
  <si>
    <t>Толгойны уут мөнгөлөг</t>
  </si>
  <si>
    <t>2026.07.27</t>
  </si>
  <si>
    <t>Умс хита уут вакум</t>
  </si>
  <si>
    <t>Каз уут вакум</t>
  </si>
  <si>
    <t>Каз уут улаан</t>
  </si>
  <si>
    <t>Умс хита уут улаан</t>
  </si>
  <si>
    <t>1 Удаагын бээлийн гялгар</t>
  </si>
  <si>
    <t xml:space="preserve">Нэгж үнэ </t>
  </si>
  <si>
    <t>Амны цаас 100 штэй</t>
  </si>
  <si>
    <t>Чигчлүүр 10 штэй</t>
  </si>
  <si>
    <t>Үхэр бууз</t>
  </si>
  <si>
    <t xml:space="preserve">Хонь бууз </t>
  </si>
  <si>
    <t>Дайвар бууз</t>
  </si>
  <si>
    <t>Жаргалант</t>
  </si>
  <si>
    <t>Бүтээгдэхүүний  үнэ /НӨАТ-гүй/</t>
  </si>
  <si>
    <t>Бүтээгдэхүүний  үнэ /НӨАТ-тэй/</t>
  </si>
  <si>
    <t>Жаргалантын 20%  нэмсэн үнэ</t>
  </si>
  <si>
    <t xml:space="preserve">Жаргалантаас авах НӨАТ </t>
  </si>
  <si>
    <t xml:space="preserve">өглөг 20 хувь </t>
  </si>
  <si>
    <t>Адуу умс</t>
  </si>
  <si>
    <t>2026.07.20</t>
  </si>
  <si>
    <t>Адууны гэдэс</t>
  </si>
  <si>
    <t>Номин 20% үнэ</t>
  </si>
  <si>
    <t xml:space="preserve">номингийн борлуулалтын </t>
  </si>
  <si>
    <t xml:space="preserve">Адууны өлөг </t>
  </si>
  <si>
    <t>Цувдаа хонь</t>
  </si>
  <si>
    <t>5 кг</t>
  </si>
  <si>
    <t>Шөл</t>
  </si>
  <si>
    <t>давс</t>
  </si>
  <si>
    <t>дошида</t>
  </si>
  <si>
    <t>Кита</t>
  </si>
  <si>
    <t>Ус</t>
  </si>
  <si>
    <t>Адууны мах</t>
  </si>
  <si>
    <t>Адууны өлөн</t>
  </si>
  <si>
    <t>Адууны умс</t>
  </si>
  <si>
    <t>500г</t>
  </si>
  <si>
    <t>Умс-кита</t>
  </si>
  <si>
    <t>SKU - 3-05</t>
  </si>
  <si>
    <t>400г</t>
  </si>
  <si>
    <t>Каз</t>
  </si>
  <si>
    <t>SKU - 3-04</t>
  </si>
  <si>
    <t>3000г</t>
  </si>
  <si>
    <t>Чанасан хонины таван цул</t>
  </si>
  <si>
    <t>SKU - 3-03</t>
  </si>
  <si>
    <t>Хорхог</t>
  </si>
  <si>
    <t>SKU - 3-02</t>
  </si>
  <si>
    <t>Хонины чанасан толгой</t>
  </si>
  <si>
    <t>SKU - 3-01</t>
  </si>
  <si>
    <t>CU үнэ /НӨАТ-тай/</t>
  </si>
  <si>
    <t>CU үнэ /НӨАТ/</t>
  </si>
  <si>
    <t>CU үнэ /НӨАТ-гүй/</t>
  </si>
  <si>
    <t>Ашгийн хувь</t>
  </si>
  <si>
    <t>Нэгж ашиг</t>
  </si>
  <si>
    <t>Нийт өртөг</t>
  </si>
  <si>
    <t>Тогтмол зардал</t>
  </si>
  <si>
    <t>Эрчим хүч</t>
  </si>
  <si>
    <t>Шууд хөдөлмөр</t>
  </si>
  <si>
    <t>Сав баглаа</t>
  </si>
  <si>
    <t>Түүхий эд</t>
  </si>
  <si>
    <t>Савлагаа</t>
  </si>
  <si>
    <t>Бүтээгдэхүүн</t>
  </si>
  <si>
    <t>Код</t>
  </si>
  <si>
    <t>CU-Д НИЙЛҮҮЛЭХ УЛАМЖЛАЛТ БҮТЭЭГДЭХҮҮНИЙ ӨРТГИЙН ЗАДАРГАА</t>
  </si>
  <si>
    <t>Шулааны гарц</t>
  </si>
  <si>
    <t>Тайлбар</t>
  </si>
  <si>
    <t>бой</t>
  </si>
  <si>
    <t>үйлдвэрт</t>
  </si>
  <si>
    <t>Дуусаагүй үйлдвэрлэл</t>
  </si>
  <si>
    <t>Төрөл</t>
  </si>
  <si>
    <t>Умс</t>
  </si>
  <si>
    <t>2026.07.28</t>
  </si>
  <si>
    <t>Хаягдал хорогдол</t>
  </si>
  <si>
    <t>2026.07.29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</si>
</sst>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-* #,##0.0_-;\-* #,##0.0_-;_-* &quot;-&quot;?_-;_-@_-"/>
    <numFmt numFmtId="167" formatCode="_-* #,##0.000_-;\-* #,##0.000_-;_-* &quot;-&quot;??_-;_-@_-"/>
    <numFmt numFmtId="168" formatCode="_(* #,##0_);_(* \(#,##0\);_(* &quot;-&quot;??_);_(@_)"/>
    <numFmt numFmtId="169" formatCode="_-* #,##0.0_-;\-* #,##0.0_-;_-* &quot;-&quot;??_-;_-@_-"/>
    <numFmt numFmtId="170" formatCode="#,##0&quot;₮&quot;;[Red]\(#,##0&quot;₮&quot;\);\-"/>
    <numFmt numFmtId="171" formatCode="0.0%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name val="Times New Roman"/>
      <family val="1"/>
    </font>
    <font>
      <u/>
      <sz val="10"/>
      <color theme="1"/>
      <name val="Times New Roman"/>
      <family val="1"/>
    </font>
    <font>
      <sz val="10"/>
      <color theme="0"/>
      <name val="Times New Roman"/>
      <family val="1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0"/>
      <color theme="0"/>
      <name val="Times New Roman"/>
      <family val="1"/>
    </font>
    <font>
      <b/>
      <sz val="10"/>
      <color theme="1"/>
      <name val="Times New Roman"/>
      <family val="1"/>
    </font>
    <font>
      <sz val="10"/>
      <color rgb="FFFF0000"/>
      <name val="Times New Roman"/>
      <family val="1"/>
    </font>
    <font>
      <b/>
      <sz val="10"/>
      <color theme="0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Arial"/>
      <family val="2"/>
    </font>
    <font>
      <b/>
      <sz val="11"/>
      <color rgb="FFFFFFFF"/>
      <name val="Arial"/>
      <family val="2"/>
    </font>
    <font>
      <b/>
      <sz val="15"/>
      <color rgb="FFFFFFFF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EAF3F8"/>
      </patternFill>
    </fill>
    <fill>
      <patternFill patternType="solid">
        <fgColor rgb="FF1F4E7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46">
    <xf numFmtId="0" fontId="0" fillId="0" borderId="0" xfId="0"/>
    <xf numFmtId="0" fontId="0" fillId="0" borderId="3" xfId="0" applyBorder="1" applyAlignment="1">
      <alignment vertical="center"/>
    </xf>
    <xf numFmtId="0" fontId="0" fillId="6" borderId="1" xfId="0" applyFill="1" applyBorder="1"/>
    <xf numFmtId="0" fontId="0" fillId="6" borderId="0" xfId="0" applyFill="1"/>
    <xf numFmtId="0" fontId="0" fillId="0" borderId="0" xfId="0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8" borderId="0" xfId="0" applyFont="1" applyFill="1"/>
    <xf numFmtId="165" fontId="4" fillId="8" borderId="0" xfId="1" applyNumberFormat="1" applyFont="1" applyFill="1" applyBorder="1"/>
    <xf numFmtId="164" fontId="0" fillId="6" borderId="1" xfId="1" applyFont="1" applyFill="1" applyBorder="1"/>
    <xf numFmtId="164" fontId="0" fillId="6" borderId="1" xfId="0" applyNumberFormat="1" applyFill="1" applyBorder="1"/>
    <xf numFmtId="164" fontId="0" fillId="6" borderId="0" xfId="1" applyFont="1" applyFill="1" applyBorder="1"/>
    <xf numFmtId="165" fontId="4" fillId="8" borderId="0" xfId="0" applyNumberFormat="1" applyFont="1" applyFill="1"/>
    <xf numFmtId="165" fontId="0" fillId="6" borderId="1" xfId="1" applyNumberFormat="1" applyFont="1" applyFill="1" applyBorder="1"/>
    <xf numFmtId="165" fontId="4" fillId="8" borderId="1" xfId="1" applyNumberFormat="1" applyFont="1" applyFill="1" applyBorder="1"/>
    <xf numFmtId="0" fontId="4" fillId="8" borderId="1" xfId="0" applyFont="1" applyFill="1" applyBorder="1"/>
    <xf numFmtId="164" fontId="0" fillId="0" borderId="0" xfId="1" applyFont="1"/>
    <xf numFmtId="165" fontId="4" fillId="8" borderId="1" xfId="0" applyNumberFormat="1" applyFont="1" applyFill="1" applyBorder="1"/>
    <xf numFmtId="165" fontId="0" fillId="0" borderId="0" xfId="0" applyNumberFormat="1"/>
    <xf numFmtId="1" fontId="4" fillId="8" borderId="1" xfId="0" applyNumberFormat="1" applyFont="1" applyFill="1" applyBorder="1"/>
    <xf numFmtId="0" fontId="0" fillId="6" borderId="3" xfId="0" applyFill="1" applyBorder="1"/>
    <xf numFmtId="0" fontId="0" fillId="0" borderId="1" xfId="0" applyBorder="1"/>
    <xf numFmtId="0" fontId="0" fillId="9" borderId="1" xfId="0" applyFill="1" applyBorder="1"/>
    <xf numFmtId="165" fontId="0" fillId="0" borderId="1" xfId="1" applyNumberFormat="1" applyFont="1" applyBorder="1"/>
    <xf numFmtId="165" fontId="0" fillId="9" borderId="1" xfId="1" applyNumberFormat="1" applyFont="1" applyFill="1" applyBorder="1"/>
    <xf numFmtId="1" fontId="0" fillId="6" borderId="1" xfId="0" applyNumberFormat="1" applyFill="1" applyBorder="1"/>
    <xf numFmtId="0" fontId="2" fillId="6" borderId="1" xfId="0" applyFont="1" applyFill="1" applyBorder="1"/>
    <xf numFmtId="165" fontId="2" fillId="6" borderId="1" xfId="1" applyNumberFormat="1" applyFont="1" applyFill="1" applyBorder="1"/>
    <xf numFmtId="164" fontId="4" fillId="8" borderId="0" xfId="1" applyFont="1" applyFill="1"/>
    <xf numFmtId="164" fontId="0" fillId="0" borderId="0" xfId="0" applyNumberFormat="1"/>
    <xf numFmtId="165" fontId="0" fillId="0" borderId="0" xfId="1" applyNumberFormat="1" applyFont="1"/>
    <xf numFmtId="165" fontId="0" fillId="0" borderId="0" xfId="1" applyNumberFormat="1" applyFont="1" applyAlignment="1">
      <alignment horizontal="center"/>
    </xf>
    <xf numFmtId="165" fontId="0" fillId="6" borderId="1" xfId="1" applyNumberFormat="1" applyFont="1" applyFill="1" applyBorder="1" applyAlignment="1">
      <alignment horizontal="center"/>
    </xf>
    <xf numFmtId="165" fontId="0" fillId="6" borderId="0" xfId="1" applyNumberFormat="1" applyFont="1" applyFill="1"/>
    <xf numFmtId="165" fontId="0" fillId="6" borderId="0" xfId="1" applyNumberFormat="1" applyFont="1" applyFill="1" applyAlignment="1">
      <alignment horizontal="center"/>
    </xf>
    <xf numFmtId="165" fontId="0" fillId="6" borderId="0" xfId="1" applyNumberFormat="1" applyFont="1" applyFill="1" applyBorder="1"/>
    <xf numFmtId="165" fontId="4" fillId="8" borderId="0" xfId="1" applyNumberFormat="1" applyFont="1" applyFill="1"/>
    <xf numFmtId="165" fontId="0" fillId="6" borderId="1" xfId="1" applyNumberFormat="1" applyFont="1" applyFill="1" applyBorder="1" applyAlignment="1">
      <alignment wrapText="1"/>
    </xf>
    <xf numFmtId="0" fontId="0" fillId="6" borderId="1" xfId="0" applyFill="1" applyBorder="1" applyAlignment="1">
      <alignment wrapText="1"/>
    </xf>
    <xf numFmtId="165" fontId="5" fillId="8" borderId="0" xfId="1" applyNumberFormat="1" applyFont="1" applyFill="1"/>
    <xf numFmtId="0" fontId="5" fillId="8" borderId="0" xfId="0" applyFont="1" applyFill="1"/>
    <xf numFmtId="0" fontId="0" fillId="4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7" fontId="0" fillId="0" borderId="0" xfId="1" applyNumberFormat="1" applyFont="1"/>
    <xf numFmtId="164" fontId="0" fillId="6" borderId="0" xfId="1" applyFont="1" applyFill="1"/>
    <xf numFmtId="167" fontId="0" fillId="6" borderId="0" xfId="1" applyNumberFormat="1" applyFont="1" applyFill="1"/>
    <xf numFmtId="2" fontId="0" fillId="6" borderId="1" xfId="0" applyNumberFormat="1" applyFill="1" applyBorder="1"/>
    <xf numFmtId="2" fontId="0" fillId="6" borderId="0" xfId="0" applyNumberFormat="1" applyFill="1"/>
    <xf numFmtId="0" fontId="0" fillId="0" borderId="0" xfId="0" applyAlignment="1">
      <alignment vertical="center" wrapText="1"/>
    </xf>
    <xf numFmtId="0" fontId="0" fillId="0" borderId="10" xfId="0" applyBorder="1" applyAlignment="1">
      <alignment horizontal="center" vertical="center"/>
    </xf>
    <xf numFmtId="167" fontId="0" fillId="9" borderId="10" xfId="1" applyNumberFormat="1" applyFont="1" applyFill="1" applyBorder="1" applyAlignment="1">
      <alignment horizontal="center" vertical="center"/>
    </xf>
    <xf numFmtId="0" fontId="0" fillId="10" borderId="1" xfId="0" applyFill="1" applyBorder="1"/>
    <xf numFmtId="167" fontId="0" fillId="10" borderId="10" xfId="1" applyNumberFormat="1" applyFont="1" applyFill="1" applyBorder="1" applyAlignment="1">
      <alignment horizontal="center" vertical="center"/>
    </xf>
    <xf numFmtId="167" fontId="0" fillId="0" borderId="10" xfId="1" applyNumberFormat="1" applyFont="1" applyBorder="1" applyAlignment="1">
      <alignment horizontal="center" vertical="center"/>
    </xf>
    <xf numFmtId="164" fontId="0" fillId="0" borderId="10" xfId="1" applyFon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/>
    </xf>
    <xf numFmtId="0" fontId="0" fillId="0" borderId="0" xfId="1" applyNumberFormat="1" applyFont="1"/>
    <xf numFmtId="167" fontId="0" fillId="0" borderId="0" xfId="0" applyNumberFormat="1"/>
    <xf numFmtId="0" fontId="0" fillId="6" borderId="5" xfId="0" applyFill="1" applyBorder="1" applyAlignment="1">
      <alignment horizontal="center"/>
    </xf>
    <xf numFmtId="164" fontId="0" fillId="8" borderId="0" xfId="0" applyNumberFormat="1" applyFill="1"/>
    <xf numFmtId="0" fontId="0" fillId="6" borderId="1" xfId="0" applyFill="1" applyBorder="1" applyAlignment="1">
      <alignment horizontal="center"/>
    </xf>
    <xf numFmtId="168" fontId="7" fillId="0" borderId="7" xfId="1" applyNumberFormat="1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168" fontId="7" fillId="10" borderId="1" xfId="1" applyNumberFormat="1" applyFont="1" applyFill="1" applyBorder="1" applyAlignment="1">
      <alignment horizontal="left" vertical="center"/>
    </xf>
    <xf numFmtId="0" fontId="8" fillId="10" borderId="4" xfId="0" applyFont="1" applyFill="1" applyBorder="1" applyAlignment="1">
      <alignment horizontal="left"/>
    </xf>
    <xf numFmtId="0" fontId="7" fillId="10" borderId="1" xfId="0" applyFont="1" applyFill="1" applyBorder="1" applyAlignment="1">
      <alignment horizontal="left" vertical="center"/>
    </xf>
    <xf numFmtId="168" fontId="7" fillId="10" borderId="4" xfId="1" applyNumberFormat="1" applyFont="1" applyFill="1" applyBorder="1" applyAlignment="1">
      <alignment horizontal="right"/>
    </xf>
    <xf numFmtId="0" fontId="8" fillId="10" borderId="1" xfId="0" applyFont="1" applyFill="1" applyBorder="1" applyAlignment="1">
      <alignment horizontal="left"/>
    </xf>
    <xf numFmtId="168" fontId="7" fillId="10" borderId="1" xfId="1" applyNumberFormat="1" applyFont="1" applyFill="1" applyBorder="1" applyAlignment="1">
      <alignment horizontal="right"/>
    </xf>
    <xf numFmtId="0" fontId="7" fillId="0" borderId="1" xfId="0" applyFont="1" applyBorder="1" applyAlignment="1">
      <alignment horizontal="left"/>
    </xf>
    <xf numFmtId="0" fontId="7" fillId="10" borderId="4" xfId="0" applyFont="1" applyFill="1" applyBorder="1" applyAlignment="1">
      <alignment horizontal="left"/>
    </xf>
    <xf numFmtId="0" fontId="7" fillId="10" borderId="1" xfId="0" applyFont="1" applyFill="1" applyBorder="1" applyAlignment="1">
      <alignment horizontal="left"/>
    </xf>
    <xf numFmtId="168" fontId="7" fillId="0" borderId="1" xfId="1" applyNumberFormat="1" applyFont="1" applyBorder="1" applyAlignment="1">
      <alignment horizontal="center" vertical="center" wrapText="1"/>
    </xf>
    <xf numFmtId="168" fontId="0" fillId="0" borderId="1" xfId="0" applyNumberFormat="1" applyBorder="1"/>
    <xf numFmtId="2" fontId="2" fillId="0" borderId="0" xfId="0" applyNumberFormat="1" applyFont="1"/>
    <xf numFmtId="2" fontId="0" fillId="0" borderId="0" xfId="0" applyNumberFormat="1"/>
    <xf numFmtId="0" fontId="0" fillId="6" borderId="5" xfId="0" applyFill="1" applyBorder="1" applyAlignment="1"/>
    <xf numFmtId="0" fontId="0" fillId="6" borderId="0" xfId="0" applyFill="1" applyBorder="1"/>
    <xf numFmtId="0" fontId="0" fillId="6" borderId="0" xfId="0" applyFill="1" applyBorder="1" applyAlignment="1">
      <alignment horizontal="center"/>
    </xf>
    <xf numFmtId="0" fontId="7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9" fillId="6" borderId="1" xfId="0" applyFont="1" applyFill="1" applyBorder="1"/>
    <xf numFmtId="165" fontId="7" fillId="0" borderId="0" xfId="0" applyNumberFormat="1" applyFont="1"/>
    <xf numFmtId="0" fontId="9" fillId="10" borderId="0" xfId="0" applyFont="1" applyFill="1"/>
    <xf numFmtId="0" fontId="7" fillId="6" borderId="1" xfId="0" applyFont="1" applyFill="1" applyBorder="1"/>
    <xf numFmtId="0" fontId="7" fillId="6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10" fillId="8" borderId="0" xfId="0" applyFont="1" applyFill="1"/>
    <xf numFmtId="164" fontId="7" fillId="0" borderId="1" xfId="1" applyFont="1" applyBorder="1"/>
    <xf numFmtId="164" fontId="7" fillId="0" borderId="0" xfId="1" applyFont="1"/>
    <xf numFmtId="165" fontId="7" fillId="6" borderId="1" xfId="1" applyNumberFormat="1" applyFont="1" applyFill="1" applyBorder="1"/>
    <xf numFmtId="165" fontId="10" fillId="8" borderId="1" xfId="1" applyNumberFormat="1" applyFont="1" applyFill="1" applyBorder="1"/>
    <xf numFmtId="0" fontId="7" fillId="10" borderId="0" xfId="0" applyFont="1" applyFill="1"/>
    <xf numFmtId="0" fontId="10" fillId="8" borderId="1" xfId="0" applyFont="1" applyFill="1" applyBorder="1"/>
    <xf numFmtId="0" fontId="7" fillId="0" borderId="1" xfId="0" applyFont="1" applyBorder="1"/>
    <xf numFmtId="164" fontId="4" fillId="8" borderId="0" xfId="1" applyFont="1" applyFill="1" applyBorder="1"/>
    <xf numFmtId="165" fontId="0" fillId="10" borderId="0" xfId="1" applyNumberFormat="1" applyFont="1" applyFill="1" applyAlignment="1">
      <alignment horizontal="center"/>
    </xf>
    <xf numFmtId="165" fontId="0" fillId="10" borderId="0" xfId="1" applyNumberFormat="1" applyFont="1" applyFill="1"/>
    <xf numFmtId="165" fontId="0" fillId="6" borderId="0" xfId="1" applyNumberFormat="1" applyFont="1" applyFill="1" applyBorder="1" applyAlignment="1">
      <alignment horizontal="center"/>
    </xf>
    <xf numFmtId="0" fontId="11" fillId="0" borderId="0" xfId="0" applyFont="1" applyAlignment="1">
      <alignment horizontal="center" vertical="center"/>
    </xf>
    <xf numFmtId="165" fontId="11" fillId="0" borderId="0" xfId="1" applyNumberFormat="1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 wrapText="1"/>
    </xf>
    <xf numFmtId="164" fontId="11" fillId="0" borderId="0" xfId="1" applyFont="1" applyAlignment="1">
      <alignment horizontal="center" vertical="center"/>
    </xf>
    <xf numFmtId="9" fontId="11" fillId="9" borderId="1" xfId="2" applyFont="1" applyFill="1" applyBorder="1" applyAlignment="1">
      <alignment horizontal="center" vertical="center" wrapText="1"/>
    </xf>
    <xf numFmtId="9" fontId="11" fillId="11" borderId="1" xfId="2" applyFont="1" applyFill="1" applyBorder="1" applyAlignment="1">
      <alignment vertical="center"/>
    </xf>
    <xf numFmtId="9" fontId="11" fillId="4" borderId="1" xfId="2" applyFont="1" applyFill="1" applyBorder="1" applyAlignment="1">
      <alignment vertical="center"/>
    </xf>
    <xf numFmtId="9" fontId="11" fillId="6" borderId="1" xfId="2" applyFont="1" applyFill="1" applyBorder="1" applyAlignment="1">
      <alignment vertical="center"/>
    </xf>
    <xf numFmtId="168" fontId="11" fillId="9" borderId="1" xfId="0" applyNumberFormat="1" applyFont="1" applyFill="1" applyBorder="1" applyAlignment="1">
      <alignment horizontal="center" vertical="center" wrapText="1"/>
    </xf>
    <xf numFmtId="164" fontId="11" fillId="0" borderId="0" xfId="1" applyFont="1" applyAlignment="1">
      <alignment vertical="center"/>
    </xf>
    <xf numFmtId="43" fontId="11" fillId="0" borderId="0" xfId="0" applyNumberFormat="1" applyFont="1" applyAlignment="1">
      <alignment horizontal="center" vertical="center" wrapText="1"/>
    </xf>
    <xf numFmtId="43" fontId="11" fillId="0" borderId="0" xfId="0" applyNumberFormat="1" applyFont="1" applyAlignment="1">
      <alignment vertical="center"/>
    </xf>
    <xf numFmtId="43" fontId="11" fillId="0" borderId="0" xfId="0" applyNumberFormat="1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 wrapText="1"/>
    </xf>
    <xf numFmtId="168" fontId="12" fillId="3" borderId="1" xfId="0" applyNumberFormat="1" applyFont="1" applyFill="1" applyBorder="1" applyAlignment="1">
      <alignment horizontal="center" vertical="center"/>
    </xf>
    <xf numFmtId="168" fontId="13" fillId="14" borderId="9" xfId="0" applyNumberFormat="1" applyFont="1" applyFill="1" applyBorder="1" applyAlignment="1">
      <alignment vertical="center" wrapText="1"/>
    </xf>
    <xf numFmtId="168" fontId="13" fillId="15" borderId="9" xfId="1" applyNumberFormat="1" applyFont="1" applyFill="1" applyBorder="1" applyAlignment="1">
      <alignment horizontal="center" vertical="center" wrapText="1"/>
    </xf>
    <xf numFmtId="168" fontId="11" fillId="9" borderId="1" xfId="0" applyNumberFormat="1" applyFont="1" applyFill="1" applyBorder="1" applyAlignment="1">
      <alignment horizontal="center" vertical="center"/>
    </xf>
    <xf numFmtId="168" fontId="11" fillId="9" borderId="1" xfId="1" applyNumberFormat="1" applyFont="1" applyFill="1" applyBorder="1" applyAlignment="1">
      <alignment horizontal="center" vertical="center" wrapText="1"/>
    </xf>
    <xf numFmtId="168" fontId="11" fillId="9" borderId="4" xfId="0" applyNumberFormat="1" applyFont="1" applyFill="1" applyBorder="1" applyAlignment="1">
      <alignment horizontal="center" vertical="center" wrapText="1"/>
    </xf>
    <xf numFmtId="168" fontId="11" fillId="3" borderId="1" xfId="0" applyNumberFormat="1" applyFont="1" applyFill="1" applyBorder="1" applyAlignment="1">
      <alignment horizontal="center" vertical="center" wrapText="1"/>
    </xf>
    <xf numFmtId="168" fontId="12" fillId="3" borderId="1" xfId="0" applyNumberFormat="1" applyFont="1" applyFill="1" applyBorder="1" applyAlignment="1">
      <alignment horizontal="center" vertical="center" wrapText="1"/>
    </xf>
    <xf numFmtId="168" fontId="11" fillId="3" borderId="1" xfId="1" applyNumberFormat="1" applyFont="1" applyFill="1" applyBorder="1" applyAlignment="1">
      <alignment horizontal="center" vertical="center" wrapText="1"/>
    </xf>
    <xf numFmtId="168" fontId="11" fillId="0" borderId="0" xfId="0" applyNumberFormat="1" applyFont="1" applyAlignment="1">
      <alignment horizontal="center" vertical="center"/>
    </xf>
    <xf numFmtId="168" fontId="11" fillId="9" borderId="3" xfId="0" applyNumberFormat="1" applyFont="1" applyFill="1" applyBorder="1" applyAlignment="1">
      <alignment vertical="center" wrapText="1"/>
    </xf>
    <xf numFmtId="168" fontId="11" fillId="9" borderId="4" xfId="0" applyNumberFormat="1" applyFont="1" applyFill="1" applyBorder="1" applyAlignment="1">
      <alignment vertical="center" wrapText="1"/>
    </xf>
    <xf numFmtId="168" fontId="11" fillId="9" borderId="4" xfId="1" applyNumberFormat="1" applyFont="1" applyFill="1" applyBorder="1" applyAlignment="1">
      <alignment vertical="center" wrapText="1"/>
    </xf>
    <xf numFmtId="168" fontId="11" fillId="9" borderId="0" xfId="1" applyNumberFormat="1" applyFont="1" applyFill="1" applyBorder="1" applyAlignment="1">
      <alignment vertical="center" textRotation="90" wrapText="1"/>
    </xf>
    <xf numFmtId="168" fontId="11" fillId="9" borderId="1" xfId="1" applyNumberFormat="1" applyFont="1" applyFill="1" applyBorder="1" applyAlignment="1">
      <alignment vertical="center" wrapText="1"/>
    </xf>
    <xf numFmtId="168" fontId="6" fillId="9" borderId="1" xfId="0" applyNumberFormat="1" applyFont="1" applyFill="1" applyBorder="1" applyAlignment="1">
      <alignment horizontal="center" vertical="center"/>
    </xf>
    <xf numFmtId="168" fontId="11" fillId="3" borderId="4" xfId="2" applyNumberFormat="1" applyFont="1" applyFill="1" applyBorder="1" applyAlignment="1">
      <alignment horizontal="center" vertical="center" wrapText="1"/>
    </xf>
    <xf numFmtId="168" fontId="12" fillId="3" borderId="4" xfId="0" applyNumberFormat="1" applyFont="1" applyFill="1" applyBorder="1" applyAlignment="1">
      <alignment vertical="center" wrapText="1"/>
    </xf>
    <xf numFmtId="168" fontId="11" fillId="3" borderId="4" xfId="1" applyNumberFormat="1" applyFont="1" applyFill="1" applyBorder="1" applyAlignment="1">
      <alignment vertical="center" wrapText="1"/>
    </xf>
    <xf numFmtId="168" fontId="11" fillId="3" borderId="4" xfId="0" applyNumberFormat="1" applyFont="1" applyFill="1" applyBorder="1" applyAlignment="1">
      <alignment vertical="center" wrapText="1"/>
    </xf>
    <xf numFmtId="168" fontId="11" fillId="3" borderId="1" xfId="1" applyNumberFormat="1" applyFont="1" applyFill="1" applyBorder="1" applyAlignment="1">
      <alignment vertical="center" wrapText="1"/>
    </xf>
    <xf numFmtId="168" fontId="6" fillId="3" borderId="1" xfId="0" applyNumberFormat="1" applyFont="1" applyFill="1" applyBorder="1" applyAlignment="1">
      <alignment horizontal="center" vertical="center"/>
    </xf>
    <xf numFmtId="168" fontId="11" fillId="3" borderId="5" xfId="0" applyNumberFormat="1" applyFont="1" applyFill="1" applyBorder="1" applyAlignment="1">
      <alignment vertical="center" wrapText="1"/>
    </xf>
    <xf numFmtId="168" fontId="11" fillId="3" borderId="1" xfId="1" applyNumberFormat="1" applyFont="1" applyFill="1" applyBorder="1" applyAlignment="1">
      <alignment horizontal="center" vertical="center"/>
    </xf>
    <xf numFmtId="168" fontId="11" fillId="11" borderId="1" xfId="0" applyNumberFormat="1" applyFont="1" applyFill="1" applyBorder="1" applyAlignment="1">
      <alignment horizontal="center" vertical="center"/>
    </xf>
    <xf numFmtId="168" fontId="11" fillId="11" borderId="1" xfId="1" applyNumberFormat="1" applyFont="1" applyFill="1" applyBorder="1" applyAlignment="1">
      <alignment horizontal="center" vertical="center"/>
    </xf>
    <xf numFmtId="168" fontId="11" fillId="11" borderId="1" xfId="1" applyNumberFormat="1" applyFont="1" applyFill="1" applyBorder="1" applyAlignment="1">
      <alignment vertical="center"/>
    </xf>
    <xf numFmtId="168" fontId="6" fillId="11" borderId="1" xfId="0" applyNumberFormat="1" applyFont="1" applyFill="1" applyBorder="1" applyAlignment="1">
      <alignment horizontal="center" vertical="center"/>
    </xf>
    <xf numFmtId="168" fontId="6" fillId="11" borderId="1" xfId="1" applyNumberFormat="1" applyFont="1" applyFill="1" applyBorder="1" applyAlignment="1">
      <alignment horizontal="center" vertical="center"/>
    </xf>
    <xf numFmtId="168" fontId="11" fillId="11" borderId="1" xfId="1" applyNumberFormat="1" applyFont="1" applyFill="1" applyBorder="1" applyAlignment="1">
      <alignment horizontal="center" vertical="center" wrapText="1"/>
    </xf>
    <xf numFmtId="168" fontId="11" fillId="11" borderId="1" xfId="1" applyNumberFormat="1" applyFont="1" applyFill="1" applyBorder="1" applyAlignment="1">
      <alignment vertical="center" wrapText="1"/>
    </xf>
    <xf numFmtId="168" fontId="12" fillId="3" borderId="1" xfId="1" applyNumberFormat="1" applyFont="1" applyFill="1" applyBorder="1" applyAlignment="1">
      <alignment horizontal="center" vertical="center"/>
    </xf>
    <xf numFmtId="168" fontId="13" fillId="8" borderId="4" xfId="0" applyNumberFormat="1" applyFont="1" applyFill="1" applyBorder="1" applyAlignment="1">
      <alignment vertical="center"/>
    </xf>
    <xf numFmtId="168" fontId="13" fillId="8" borderId="4" xfId="1" applyNumberFormat="1" applyFont="1" applyFill="1" applyBorder="1" applyAlignment="1">
      <alignment vertical="center"/>
    </xf>
    <xf numFmtId="168" fontId="13" fillId="8" borderId="1" xfId="1" applyNumberFormat="1" applyFont="1" applyFill="1" applyBorder="1" applyAlignment="1">
      <alignment horizontal="center" vertical="center"/>
    </xf>
    <xf numFmtId="168" fontId="13" fillId="8" borderId="4" xfId="1" applyNumberFormat="1" applyFont="1" applyFill="1" applyBorder="1" applyAlignment="1">
      <alignment horizontal="center" vertical="center" wrapText="1"/>
    </xf>
    <xf numFmtId="168" fontId="11" fillId="4" borderId="1" xfId="0" applyNumberFormat="1" applyFont="1" applyFill="1" applyBorder="1" applyAlignment="1">
      <alignment horizontal="center" vertical="center"/>
    </xf>
    <xf numFmtId="168" fontId="11" fillId="4" borderId="1" xfId="1" applyNumberFormat="1" applyFont="1" applyFill="1" applyBorder="1" applyAlignment="1">
      <alignment horizontal="center" vertical="center"/>
    </xf>
    <xf numFmtId="168" fontId="11" fillId="4" borderId="1" xfId="1" applyNumberFormat="1" applyFont="1" applyFill="1" applyBorder="1" applyAlignment="1">
      <alignment vertical="center"/>
    </xf>
    <xf numFmtId="168" fontId="6" fillId="4" borderId="1" xfId="0" applyNumberFormat="1" applyFont="1" applyFill="1" applyBorder="1" applyAlignment="1">
      <alignment horizontal="center" vertical="center"/>
    </xf>
    <xf numFmtId="168" fontId="6" fillId="4" borderId="1" xfId="1" applyNumberFormat="1" applyFont="1" applyFill="1" applyBorder="1" applyAlignment="1">
      <alignment horizontal="center" vertical="center"/>
    </xf>
    <xf numFmtId="168" fontId="11" fillId="4" borderId="1" xfId="1" applyNumberFormat="1" applyFont="1" applyFill="1" applyBorder="1" applyAlignment="1">
      <alignment horizontal="center" vertical="center" wrapText="1"/>
    </xf>
    <xf numFmtId="168" fontId="11" fillId="4" borderId="5" xfId="0" applyNumberFormat="1" applyFont="1" applyFill="1" applyBorder="1" applyAlignment="1">
      <alignment horizontal="center" vertical="center"/>
    </xf>
    <xf numFmtId="168" fontId="11" fillId="4" borderId="5" xfId="1" applyNumberFormat="1" applyFont="1" applyFill="1" applyBorder="1" applyAlignment="1">
      <alignment horizontal="center" vertical="center"/>
    </xf>
    <xf numFmtId="168" fontId="13" fillId="14" borderId="6" xfId="0" applyNumberFormat="1" applyFont="1" applyFill="1" applyBorder="1" applyAlignment="1">
      <alignment vertical="center"/>
    </xf>
    <xf numFmtId="168" fontId="13" fillId="14" borderId="9" xfId="1" applyNumberFormat="1" applyFont="1" applyFill="1" applyBorder="1" applyAlignment="1">
      <alignment vertical="center" wrapText="1"/>
    </xf>
    <xf numFmtId="168" fontId="13" fillId="14" borderId="1" xfId="1" applyNumberFormat="1" applyFont="1" applyFill="1" applyBorder="1" applyAlignment="1">
      <alignment horizontal="center" vertical="center"/>
    </xf>
    <xf numFmtId="168" fontId="13" fillId="14" borderId="9" xfId="1" applyNumberFormat="1" applyFont="1" applyFill="1" applyBorder="1" applyAlignment="1">
      <alignment horizontal="center" vertical="center" wrapText="1"/>
    </xf>
    <xf numFmtId="168" fontId="11" fillId="12" borderId="1" xfId="0" applyNumberFormat="1" applyFont="1" applyFill="1" applyBorder="1" applyAlignment="1">
      <alignment horizontal="center" vertical="center"/>
    </xf>
    <xf numFmtId="168" fontId="11" fillId="12" borderId="1" xfId="1" applyNumberFormat="1" applyFont="1" applyFill="1" applyBorder="1" applyAlignment="1">
      <alignment horizontal="center" vertical="center"/>
    </xf>
    <xf numFmtId="168" fontId="11" fillId="6" borderId="1" xfId="1" applyNumberFormat="1" applyFont="1" applyFill="1" applyBorder="1" applyAlignment="1">
      <alignment horizontal="center" vertical="center"/>
    </xf>
    <xf numFmtId="168" fontId="11" fillId="6" borderId="1" xfId="1" applyNumberFormat="1" applyFont="1" applyFill="1" applyBorder="1" applyAlignment="1">
      <alignment vertical="center"/>
    </xf>
    <xf numFmtId="168" fontId="6" fillId="6" borderId="1" xfId="0" applyNumberFormat="1" applyFont="1" applyFill="1" applyBorder="1" applyAlignment="1">
      <alignment horizontal="center" vertical="center"/>
    </xf>
    <xf numFmtId="168" fontId="6" fillId="6" borderId="1" xfId="1" applyNumberFormat="1" applyFont="1" applyFill="1" applyBorder="1" applyAlignment="1">
      <alignment horizontal="center" vertical="center"/>
    </xf>
    <xf numFmtId="168" fontId="11" fillId="6" borderId="1" xfId="0" applyNumberFormat="1" applyFont="1" applyFill="1" applyBorder="1" applyAlignment="1">
      <alignment horizontal="center" vertical="center"/>
    </xf>
    <xf numFmtId="168" fontId="11" fillId="6" borderId="1" xfId="1" applyNumberFormat="1" applyFont="1" applyFill="1" applyBorder="1" applyAlignment="1">
      <alignment horizontal="center" vertical="center" wrapText="1"/>
    </xf>
    <xf numFmtId="168" fontId="13" fillId="15" borderId="6" xfId="0" applyNumberFormat="1" applyFont="1" applyFill="1" applyBorder="1" applyAlignment="1">
      <alignment vertical="center"/>
    </xf>
    <xf numFmtId="168" fontId="13" fillId="15" borderId="9" xfId="0" applyNumberFormat="1" applyFont="1" applyFill="1" applyBorder="1" applyAlignment="1">
      <alignment vertical="center" wrapText="1"/>
    </xf>
    <xf numFmtId="168" fontId="13" fillId="15" borderId="9" xfId="1" applyNumberFormat="1" applyFont="1" applyFill="1" applyBorder="1" applyAlignment="1">
      <alignment vertical="center" wrapText="1"/>
    </xf>
    <xf numFmtId="168" fontId="13" fillId="15" borderId="2" xfId="0" applyNumberFormat="1" applyFont="1" applyFill="1" applyBorder="1" applyAlignment="1">
      <alignment horizontal="center" vertical="center" wrapText="1"/>
    </xf>
    <xf numFmtId="168" fontId="13" fillId="15" borderId="2" xfId="1" applyNumberFormat="1" applyFont="1" applyFill="1" applyBorder="1" applyAlignment="1">
      <alignment horizontal="center" vertical="center"/>
    </xf>
    <xf numFmtId="168" fontId="11" fillId="0" borderId="0" xfId="1" applyNumberFormat="1" applyFont="1" applyAlignment="1">
      <alignment horizontal="center" vertical="center"/>
    </xf>
    <xf numFmtId="168" fontId="11" fillId="9" borderId="1" xfId="1" applyNumberFormat="1" applyFont="1" applyFill="1" applyBorder="1" applyAlignment="1">
      <alignment horizontal="center" vertical="center"/>
    </xf>
    <xf numFmtId="168" fontId="11" fillId="9" borderId="1" xfId="0" applyNumberFormat="1" applyFont="1" applyFill="1" applyBorder="1" applyAlignment="1">
      <alignment vertical="center"/>
    </xf>
    <xf numFmtId="9" fontId="13" fillId="8" borderId="1" xfId="2" applyFont="1" applyFill="1" applyBorder="1" applyAlignment="1">
      <alignment horizontal="center" vertical="center"/>
    </xf>
    <xf numFmtId="9" fontId="13" fillId="14" borderId="1" xfId="2" applyFont="1" applyFill="1" applyBorder="1" applyAlignment="1">
      <alignment horizontal="center" vertical="center" wrapText="1"/>
    </xf>
    <xf numFmtId="168" fontId="13" fillId="8" borderId="3" xfId="0" applyNumberFormat="1" applyFont="1" applyFill="1" applyBorder="1" applyAlignment="1">
      <alignment vertical="center"/>
    </xf>
    <xf numFmtId="168" fontId="13" fillId="8" borderId="3" xfId="0" applyNumberFormat="1" applyFont="1" applyFill="1" applyBorder="1" applyAlignment="1">
      <alignment horizontal="center" vertical="center"/>
    </xf>
    <xf numFmtId="168" fontId="11" fillId="9" borderId="1" xfId="0" applyNumberFormat="1" applyFont="1" applyFill="1" applyBorder="1" applyAlignment="1">
      <alignment horizontal="center" vertical="center" wrapText="1"/>
    </xf>
    <xf numFmtId="9" fontId="6" fillId="9" borderId="1" xfId="2" applyFont="1" applyFill="1" applyBorder="1" applyAlignment="1">
      <alignment horizontal="center" vertical="center"/>
    </xf>
    <xf numFmtId="9" fontId="11" fillId="9" borderId="1" xfId="2" applyFont="1" applyFill="1" applyBorder="1" applyAlignment="1">
      <alignment vertical="center" wrapText="1"/>
    </xf>
    <xf numFmtId="9" fontId="6" fillId="3" borderId="1" xfId="2" applyFont="1" applyFill="1" applyBorder="1" applyAlignment="1">
      <alignment horizontal="center" vertical="center"/>
    </xf>
    <xf numFmtId="9" fontId="6" fillId="9" borderId="1" xfId="2" applyFont="1" applyFill="1" applyBorder="1" applyAlignment="1">
      <alignment vertical="center" wrapText="1"/>
    </xf>
    <xf numFmtId="9" fontId="6" fillId="9" borderId="1" xfId="2" applyFont="1" applyFill="1" applyBorder="1" applyAlignment="1">
      <alignment horizontal="center" vertical="center" wrapText="1"/>
    </xf>
    <xf numFmtId="3" fontId="11" fillId="0" borderId="0" xfId="0" applyNumberFormat="1" applyFont="1" applyAlignment="1">
      <alignment horizontal="center" vertical="center"/>
    </xf>
    <xf numFmtId="164" fontId="11" fillId="0" borderId="0" xfId="1" applyFont="1" applyAlignment="1">
      <alignment horizontal="center" vertical="center" wrapText="1"/>
    </xf>
    <xf numFmtId="0" fontId="3" fillId="9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15" fillId="8" borderId="0" xfId="0" applyFont="1" applyFill="1"/>
    <xf numFmtId="0" fontId="15" fillId="8" borderId="8" xfId="0" applyFont="1" applyFill="1" applyBorder="1"/>
    <xf numFmtId="0" fontId="9" fillId="0" borderId="1" xfId="0" applyFont="1" applyBorder="1"/>
    <xf numFmtId="164" fontId="9" fillId="0" borderId="1" xfId="1" applyFont="1" applyBorder="1"/>
    <xf numFmtId="164" fontId="9" fillId="0" borderId="1" xfId="1" applyFont="1" applyBorder="1" applyAlignment="1">
      <alignment horizontal="center"/>
    </xf>
    <xf numFmtId="164" fontId="9" fillId="0" borderId="0" xfId="1" applyFont="1"/>
    <xf numFmtId="164" fontId="9" fillId="0" borderId="0" xfId="1" applyFont="1" applyAlignment="1">
      <alignment horizontal="center"/>
    </xf>
    <xf numFmtId="164" fontId="9" fillId="8" borderId="0" xfId="1" applyFont="1" applyFill="1"/>
    <xf numFmtId="165" fontId="9" fillId="6" borderId="1" xfId="1" applyNumberFormat="1" applyFont="1" applyFill="1" applyBorder="1"/>
    <xf numFmtId="165" fontId="15" fillId="8" borderId="1" xfId="1" applyNumberFormat="1" applyFont="1" applyFill="1" applyBorder="1"/>
    <xf numFmtId="165" fontId="15" fillId="8" borderId="1" xfId="0" applyNumberFormat="1" applyFont="1" applyFill="1" applyBorder="1"/>
    <xf numFmtId="0" fontId="15" fillId="8" borderId="1" xfId="0" applyFont="1" applyFill="1" applyBorder="1"/>
    <xf numFmtId="1" fontId="15" fillId="8" borderId="1" xfId="0" applyNumberFormat="1" applyFont="1" applyFill="1" applyBorder="1"/>
    <xf numFmtId="165" fontId="9" fillId="10" borderId="0" xfId="0" applyNumberFormat="1" applyFont="1" applyFill="1"/>
    <xf numFmtId="165" fontId="15" fillId="8" borderId="0" xfId="0" applyNumberFormat="1" applyFont="1" applyFill="1"/>
    <xf numFmtId="164" fontId="9" fillId="10" borderId="0" xfId="0" applyNumberFormat="1" applyFont="1" applyFill="1"/>
    <xf numFmtId="0" fontId="7" fillId="6" borderId="0" xfId="0" applyFont="1" applyFill="1"/>
    <xf numFmtId="0" fontId="7" fillId="6" borderId="0" xfId="0" applyFont="1" applyFill="1" applyAlignment="1">
      <alignment horizontal="center"/>
    </xf>
    <xf numFmtId="165" fontId="10" fillId="8" borderId="0" xfId="1" applyNumberFormat="1" applyFont="1" applyFill="1" applyBorder="1"/>
    <xf numFmtId="164" fontId="7" fillId="6" borderId="1" xfId="1" applyFont="1" applyFill="1" applyBorder="1"/>
    <xf numFmtId="164" fontId="7" fillId="6" borderId="1" xfId="0" applyNumberFormat="1" applyFont="1" applyFill="1" applyBorder="1"/>
    <xf numFmtId="164" fontId="7" fillId="6" borderId="0" xfId="1" applyFont="1" applyFill="1" applyBorder="1"/>
    <xf numFmtId="165" fontId="10" fillId="8" borderId="0" xfId="0" applyNumberFormat="1" applyFont="1" applyFill="1"/>
    <xf numFmtId="165" fontId="10" fillId="8" borderId="1" xfId="0" applyNumberFormat="1" applyFont="1" applyFill="1" applyBorder="1"/>
    <xf numFmtId="1" fontId="10" fillId="8" borderId="1" xfId="0" applyNumberFormat="1" applyFont="1" applyFill="1" applyBorder="1"/>
    <xf numFmtId="0" fontId="16" fillId="6" borderId="0" xfId="0" applyFont="1" applyFill="1"/>
    <xf numFmtId="0" fontId="7" fillId="13" borderId="1" xfId="0" applyFont="1" applyFill="1" applyBorder="1"/>
    <xf numFmtId="164" fontId="7" fillId="13" borderId="1" xfId="1" applyFont="1" applyFill="1" applyBorder="1"/>
    <xf numFmtId="0" fontId="7" fillId="13" borderId="1" xfId="0" applyFont="1" applyFill="1" applyBorder="1" applyAlignment="1">
      <alignment horizontal="center"/>
    </xf>
    <xf numFmtId="165" fontId="7" fillId="13" borderId="1" xfId="1" applyNumberFormat="1" applyFont="1" applyFill="1" applyBorder="1"/>
    <xf numFmtId="167" fontId="7" fillId="13" borderId="1" xfId="1" applyNumberFormat="1" applyFont="1" applyFill="1" applyBorder="1"/>
    <xf numFmtId="164" fontId="7" fillId="6" borderId="0" xfId="0" applyNumberFormat="1" applyFont="1" applyFill="1"/>
    <xf numFmtId="164" fontId="10" fillId="8" borderId="0" xfId="1" applyFont="1" applyFill="1"/>
    <xf numFmtId="164" fontId="7" fillId="0" borderId="0" xfId="0" applyNumberFormat="1" applyFont="1"/>
    <xf numFmtId="164" fontId="10" fillId="8" borderId="0" xfId="1" applyFont="1" applyFill="1" applyBorder="1"/>
    <xf numFmtId="164" fontId="10" fillId="8" borderId="1" xfId="1" applyFont="1" applyFill="1" applyBorder="1"/>
    <xf numFmtId="0" fontId="17" fillId="6" borderId="1" xfId="0" applyFont="1" applyFill="1" applyBorder="1"/>
    <xf numFmtId="0" fontId="7" fillId="6" borderId="1" xfId="0" applyFont="1" applyFill="1" applyBorder="1" applyAlignment="1"/>
    <xf numFmtId="169" fontId="7" fillId="6" borderId="1" xfId="1" applyNumberFormat="1" applyFont="1" applyFill="1" applyBorder="1"/>
    <xf numFmtId="169" fontId="7" fillId="6" borderId="1" xfId="0" applyNumberFormat="1" applyFont="1" applyFill="1" applyBorder="1"/>
    <xf numFmtId="0" fontId="7" fillId="6" borderId="0" xfId="0" applyFont="1" applyFill="1" applyBorder="1"/>
    <xf numFmtId="169" fontId="7" fillId="6" borderId="0" xfId="1" applyNumberFormat="1" applyFont="1" applyFill="1" applyBorder="1"/>
    <xf numFmtId="0" fontId="7" fillId="6" borderId="0" xfId="0" applyFont="1" applyFill="1" applyBorder="1" applyAlignment="1">
      <alignment horizontal="center"/>
    </xf>
    <xf numFmtId="164" fontId="7" fillId="6" borderId="0" xfId="0" applyNumberFormat="1" applyFont="1" applyFill="1" applyBorder="1"/>
    <xf numFmtId="2" fontId="7" fillId="6" borderId="1" xfId="0" applyNumberFormat="1" applyFont="1" applyFill="1" applyBorder="1"/>
    <xf numFmtId="164" fontId="7" fillId="6" borderId="0" xfId="1" applyFont="1" applyFill="1"/>
    <xf numFmtId="167" fontId="7" fillId="6" borderId="0" xfId="1" applyNumberFormat="1" applyFont="1" applyFill="1"/>
    <xf numFmtId="2" fontId="7" fillId="6" borderId="0" xfId="0" applyNumberFormat="1" applyFont="1" applyFill="1"/>
    <xf numFmtId="0" fontId="16" fillId="0" borderId="12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3" fontId="7" fillId="0" borderId="12" xfId="0" applyNumberFormat="1" applyFont="1" applyBorder="1" applyAlignment="1">
      <alignment vertical="center" wrapText="1"/>
    </xf>
    <xf numFmtId="0" fontId="18" fillId="8" borderId="0" xfId="0" applyFont="1" applyFill="1"/>
    <xf numFmtId="165" fontId="18" fillId="8" borderId="0" xfId="1" applyNumberFormat="1" applyFont="1" applyFill="1"/>
    <xf numFmtId="165" fontId="17" fillId="6" borderId="1" xfId="1" applyNumberFormat="1" applyFont="1" applyFill="1" applyBorder="1"/>
    <xf numFmtId="1" fontId="7" fillId="6" borderId="1" xfId="0" applyNumberFormat="1" applyFont="1" applyFill="1" applyBorder="1"/>
    <xf numFmtId="165" fontId="7" fillId="6" borderId="1" xfId="0" applyNumberFormat="1" applyFont="1" applyFill="1" applyBorder="1"/>
    <xf numFmtId="165" fontId="7" fillId="6" borderId="0" xfId="1" applyNumberFormat="1" applyFont="1" applyFill="1" applyBorder="1"/>
    <xf numFmtId="0" fontId="7" fillId="10" borderId="0" xfId="0" applyFont="1" applyFill="1" applyAlignment="1">
      <alignment horizontal="center"/>
    </xf>
    <xf numFmtId="165" fontId="7" fillId="10" borderId="0" xfId="0" applyNumberFormat="1" applyFont="1" applyFill="1"/>
    <xf numFmtId="164" fontId="7" fillId="10" borderId="0" xfId="0" applyNumberFormat="1" applyFont="1" applyFill="1"/>
    <xf numFmtId="0" fontId="7" fillId="6" borderId="1" xfId="0" applyFont="1" applyFill="1" applyBorder="1" applyAlignment="1">
      <alignment vertical="center" wrapText="1"/>
    </xf>
    <xf numFmtId="3" fontId="7" fillId="6" borderId="1" xfId="0" applyNumberFormat="1" applyFont="1" applyFill="1" applyBorder="1" applyAlignment="1">
      <alignment vertical="center" wrapText="1"/>
    </xf>
    <xf numFmtId="0" fontId="10" fillId="8" borderId="8" xfId="0" applyFont="1" applyFill="1" applyBorder="1"/>
    <xf numFmtId="0" fontId="7" fillId="0" borderId="1" xfId="0" applyFont="1" applyBorder="1" applyAlignment="1">
      <alignment horizontal="center"/>
    </xf>
    <xf numFmtId="0" fontId="7" fillId="8" borderId="0" xfId="0" applyFont="1" applyFill="1"/>
    <xf numFmtId="165" fontId="7" fillId="6" borderId="8" xfId="0" applyNumberFormat="1" applyFont="1" applyFill="1" applyBorder="1"/>
    <xf numFmtId="0" fontId="19" fillId="9" borderId="1" xfId="0" applyFont="1" applyFill="1" applyBorder="1" applyAlignment="1">
      <alignment horizontal="center" vertical="center"/>
    </xf>
    <xf numFmtId="2" fontId="19" fillId="9" borderId="1" xfId="0" applyNumberFormat="1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9" fillId="18" borderId="1" xfId="0" applyFont="1" applyFill="1" applyBorder="1" applyAlignment="1">
      <alignment horizontal="center" vertical="center"/>
    </xf>
    <xf numFmtId="0" fontId="20" fillId="18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/>
    </xf>
    <xf numFmtId="0" fontId="7" fillId="18" borderId="1" xfId="0" applyFont="1" applyFill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164" fontId="3" fillId="9" borderId="1" xfId="1" applyFont="1" applyFill="1" applyBorder="1" applyAlignment="1">
      <alignment horizontal="center"/>
    </xf>
    <xf numFmtId="0" fontId="23" fillId="9" borderId="1" xfId="0" applyFont="1" applyFill="1" applyBorder="1" applyAlignment="1">
      <alignment horizontal="center"/>
    </xf>
    <xf numFmtId="164" fontId="23" fillId="9" borderId="1" xfId="1" applyFont="1" applyFill="1" applyBorder="1" applyAlignment="1">
      <alignment horizontal="center"/>
    </xf>
    <xf numFmtId="0" fontId="24" fillId="0" borderId="0" xfId="0" applyFont="1"/>
    <xf numFmtId="1" fontId="24" fillId="0" borderId="0" xfId="0" applyNumberFormat="1" applyFont="1"/>
    <xf numFmtId="164" fontId="24" fillId="0" borderId="0" xfId="1" applyFont="1"/>
    <xf numFmtId="165" fontId="3" fillId="9" borderId="1" xfId="1" applyNumberFormat="1" applyFont="1" applyFill="1" applyBorder="1" applyAlignment="1">
      <alignment horizontal="center"/>
    </xf>
    <xf numFmtId="0" fontId="3" fillId="0" borderId="0" xfId="0" applyFont="1"/>
    <xf numFmtId="0" fontId="7" fillId="6" borderId="1" xfId="0" applyFont="1" applyFill="1" applyBorder="1" applyAlignment="1">
      <alignment horizontal="center"/>
    </xf>
    <xf numFmtId="168" fontId="11" fillId="11" borderId="1" xfId="0" applyNumberFormat="1" applyFont="1" applyFill="1" applyBorder="1" applyAlignment="1">
      <alignment horizontal="center" vertical="center"/>
    </xf>
    <xf numFmtId="168" fontId="11" fillId="11" borderId="1" xfId="1" applyNumberFormat="1" applyFont="1" applyFill="1" applyBorder="1" applyAlignment="1">
      <alignment horizontal="center" vertical="center"/>
    </xf>
    <xf numFmtId="43" fontId="10" fillId="8" borderId="0" xfId="0" applyNumberFormat="1" applyFont="1" applyFill="1"/>
    <xf numFmtId="168" fontId="11" fillId="11" borderId="3" xfId="0" applyNumberFormat="1" applyFont="1" applyFill="1" applyBorder="1" applyAlignment="1">
      <alignment horizontal="center" vertical="center" textRotation="90" wrapText="1"/>
    </xf>
    <xf numFmtId="168" fontId="11" fillId="11" borderId="4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9" fontId="11" fillId="0" borderId="0" xfId="2" applyNumberFormat="1" applyFont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168" fontId="11" fillId="11" borderId="1" xfId="1" applyNumberFormat="1" applyFont="1" applyFill="1" applyBorder="1" applyAlignment="1">
      <alignment horizontal="center" vertical="center"/>
    </xf>
    <xf numFmtId="168" fontId="11" fillId="11" borderId="1" xfId="0" applyNumberFormat="1" applyFont="1" applyFill="1" applyBorder="1" applyAlignment="1">
      <alignment horizontal="center" vertical="center"/>
    </xf>
    <xf numFmtId="168" fontId="11" fillId="4" borderId="1" xfId="0" applyNumberFormat="1" applyFont="1" applyFill="1" applyBorder="1" applyAlignment="1">
      <alignment horizontal="center" vertical="center"/>
    </xf>
    <xf numFmtId="168" fontId="11" fillId="4" borderId="1" xfId="1" applyNumberFormat="1" applyFont="1" applyFill="1" applyBorder="1" applyAlignment="1">
      <alignment horizontal="center" vertical="center"/>
    </xf>
    <xf numFmtId="168" fontId="11" fillId="9" borderId="1" xfId="0" applyNumberFormat="1" applyFont="1" applyFill="1" applyBorder="1" applyAlignment="1">
      <alignment horizontal="center" vertical="center" wrapText="1"/>
    </xf>
    <xf numFmtId="168" fontId="11" fillId="4" borderId="1" xfId="1" applyNumberFormat="1" applyFont="1" applyFill="1" applyBorder="1" applyAlignment="1">
      <alignment horizontal="center" vertical="center"/>
    </xf>
    <xf numFmtId="0" fontId="0" fillId="7" borderId="0" xfId="0" applyFill="1" applyAlignment="1">
      <alignment vertical="center"/>
    </xf>
    <xf numFmtId="0" fontId="3" fillId="3" borderId="6" xfId="0" applyFont="1" applyFill="1" applyBorder="1" applyAlignment="1">
      <alignment vertical="center" textRotation="90"/>
    </xf>
    <xf numFmtId="0" fontId="3" fillId="3" borderId="7" xfId="0" applyFont="1" applyFill="1" applyBorder="1" applyAlignment="1">
      <alignment vertical="center" textRotation="90"/>
    </xf>
    <xf numFmtId="0" fontId="0" fillId="7" borderId="1" xfId="0" applyFill="1" applyBorder="1" applyAlignment="1">
      <alignment vertical="center" textRotation="90"/>
    </xf>
    <xf numFmtId="165" fontId="0" fillId="0" borderId="1" xfId="1" applyNumberFormat="1" applyFont="1" applyBorder="1" applyAlignment="1">
      <alignment vertical="center" wrapText="1"/>
    </xf>
    <xf numFmtId="165" fontId="0" fillId="0" borderId="0" xfId="1" applyNumberFormat="1" applyFont="1" applyAlignment="1">
      <alignment vertical="center" textRotation="90" wrapText="1"/>
    </xf>
    <xf numFmtId="0" fontId="0" fillId="0" borderId="1" xfId="0" applyBorder="1" applyAlignment="1">
      <alignment vertical="center" wrapText="1"/>
    </xf>
    <xf numFmtId="0" fontId="0" fillId="7" borderId="1" xfId="0" applyFill="1" applyBorder="1" applyAlignment="1">
      <alignment vertical="center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5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3" borderId="1" xfId="0" applyFill="1" applyBorder="1" applyAlignment="1">
      <alignment vertical="center" textRotation="90"/>
    </xf>
    <xf numFmtId="0" fontId="0" fillId="0" borderId="1" xfId="0" applyBorder="1" applyAlignment="1">
      <alignment vertical="center" textRotation="90"/>
    </xf>
    <xf numFmtId="0" fontId="0" fillId="0" borderId="0" xfId="0" applyAlignment="1">
      <alignment vertical="center" textRotation="90"/>
    </xf>
    <xf numFmtId="165" fontId="0" fillId="0" borderId="0" xfId="1" applyNumberFormat="1" applyFont="1" applyAlignment="1">
      <alignment vertical="center" textRotation="90"/>
    </xf>
    <xf numFmtId="0" fontId="0" fillId="2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165" fontId="0" fillId="2" borderId="1" xfId="1" applyNumberFormat="1" applyFont="1" applyFill="1" applyBorder="1" applyAlignment="1">
      <alignment vertical="center" wrapText="1"/>
    </xf>
    <xf numFmtId="165" fontId="0" fillId="3" borderId="1" xfId="1" applyNumberFormat="1" applyFont="1" applyFill="1" applyBorder="1" applyAlignment="1">
      <alignment vertical="center" wrapText="1"/>
    </xf>
    <xf numFmtId="165" fontId="0" fillId="4" borderId="1" xfId="1" applyNumberFormat="1" applyFont="1" applyFill="1" applyBorder="1" applyAlignment="1">
      <alignment vertical="center" wrapText="1"/>
    </xf>
    <xf numFmtId="165" fontId="0" fillId="5" borderId="1" xfId="1" applyNumberFormat="1" applyFont="1" applyFill="1" applyBorder="1" applyAlignment="1">
      <alignment vertical="center" wrapText="1"/>
    </xf>
    <xf numFmtId="165" fontId="0" fillId="6" borderId="1" xfId="1" applyNumberFormat="1" applyFont="1" applyFill="1" applyBorder="1" applyAlignment="1">
      <alignment vertical="center" wrapText="1"/>
    </xf>
    <xf numFmtId="165" fontId="0" fillId="7" borderId="1" xfId="1" applyNumberFormat="1" applyFont="1" applyFill="1" applyBorder="1" applyAlignment="1">
      <alignment vertical="center" wrapText="1"/>
    </xf>
    <xf numFmtId="165" fontId="0" fillId="7" borderId="1" xfId="1" applyNumberFormat="1" applyFont="1" applyFill="1" applyBorder="1" applyAlignment="1">
      <alignment vertical="center"/>
    </xf>
    <xf numFmtId="9" fontId="0" fillId="7" borderId="1" xfId="0" applyNumberFormat="1" applyFill="1" applyBorder="1" applyAlignment="1">
      <alignment vertical="center" wrapText="1"/>
    </xf>
    <xf numFmtId="166" fontId="0" fillId="2" borderId="1" xfId="0" applyNumberFormat="1" applyFill="1" applyBorder="1" applyAlignment="1">
      <alignment vertical="center" wrapText="1"/>
    </xf>
    <xf numFmtId="164" fontId="0" fillId="2" borderId="1" xfId="0" applyNumberFormat="1" applyFill="1" applyBorder="1" applyAlignment="1">
      <alignment vertical="center" wrapText="1"/>
    </xf>
    <xf numFmtId="165" fontId="0" fillId="2" borderId="1" xfId="0" applyNumberFormat="1" applyFill="1" applyBorder="1" applyAlignment="1">
      <alignment vertical="center" wrapText="1"/>
    </xf>
    <xf numFmtId="165" fontId="0" fillId="3" borderId="1" xfId="1" applyNumberFormat="1" applyFont="1" applyFill="1" applyBorder="1" applyAlignment="1">
      <alignment vertical="center"/>
    </xf>
    <xf numFmtId="165" fontId="0" fillId="6" borderId="1" xfId="1" applyNumberFormat="1" applyFont="1" applyFill="1" applyBorder="1" applyAlignment="1">
      <alignment vertical="center"/>
    </xf>
    <xf numFmtId="165" fontId="0" fillId="0" borderId="1" xfId="1" applyNumberFormat="1" applyFont="1" applyBorder="1" applyAlignment="1">
      <alignment vertical="center"/>
    </xf>
    <xf numFmtId="0" fontId="0" fillId="0" borderId="1" xfId="0" applyBorder="1" applyAlignment="1">
      <alignment horizontal="center" vertical="center" textRotation="90" wrapText="1"/>
    </xf>
    <xf numFmtId="0" fontId="0" fillId="2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26" fillId="0" borderId="0" xfId="0" applyFont="1"/>
    <xf numFmtId="0" fontId="26" fillId="0" borderId="1" xfId="0" applyFont="1" applyBorder="1"/>
    <xf numFmtId="0" fontId="26" fillId="9" borderId="1" xfId="0" applyFont="1" applyFill="1" applyBorder="1"/>
    <xf numFmtId="165" fontId="26" fillId="9" borderId="1" xfId="1" applyNumberFormat="1" applyFont="1" applyFill="1" applyBorder="1"/>
    <xf numFmtId="0" fontId="26" fillId="3" borderId="1" xfId="0" applyFont="1" applyFill="1" applyBorder="1"/>
    <xf numFmtId="165" fontId="26" fillId="0" borderId="0" xfId="1" applyNumberFormat="1" applyFont="1"/>
    <xf numFmtId="165" fontId="26" fillId="0" borderId="1" xfId="1" applyNumberFormat="1" applyFont="1" applyBorder="1"/>
    <xf numFmtId="165" fontId="25" fillId="9" borderId="1" xfId="1" applyNumberFormat="1" applyFont="1" applyFill="1" applyBorder="1" applyAlignment="1">
      <alignment horizontal="center"/>
    </xf>
    <xf numFmtId="165" fontId="25" fillId="9" borderId="2" xfId="1" applyNumberFormat="1" applyFont="1" applyFill="1" applyBorder="1" applyAlignment="1">
      <alignment horizontal="center"/>
    </xf>
    <xf numFmtId="165" fontId="26" fillId="0" borderId="3" xfId="1" applyNumberFormat="1" applyFont="1" applyBorder="1"/>
    <xf numFmtId="165" fontId="26" fillId="9" borderId="3" xfId="1" applyNumberFormat="1" applyFont="1" applyFill="1" applyBorder="1"/>
    <xf numFmtId="165" fontId="26" fillId="3" borderId="1" xfId="1" applyNumberFormat="1" applyFont="1" applyFill="1" applyBorder="1"/>
    <xf numFmtId="165" fontId="26" fillId="3" borderId="3" xfId="1" applyNumberFormat="1" applyFont="1" applyFill="1" applyBorder="1"/>
    <xf numFmtId="164" fontId="6" fillId="11" borderId="1" xfId="1" applyFont="1" applyFill="1" applyBorder="1" applyAlignment="1">
      <alignment horizontal="center" vertical="center"/>
    </xf>
    <xf numFmtId="164" fontId="0" fillId="0" borderId="1" xfId="1" applyFont="1" applyBorder="1"/>
    <xf numFmtId="164" fontId="11" fillId="11" borderId="1" xfId="1" applyFont="1" applyFill="1" applyBorder="1" applyAlignment="1">
      <alignment horizontal="center" vertical="center"/>
    </xf>
    <xf numFmtId="165" fontId="11" fillId="11" borderId="1" xfId="1" applyNumberFormat="1" applyFont="1" applyFill="1" applyBorder="1" applyAlignment="1">
      <alignment horizontal="center" vertical="center"/>
    </xf>
    <xf numFmtId="43" fontId="0" fillId="0" borderId="1" xfId="0" applyNumberFormat="1" applyBorder="1"/>
    <xf numFmtId="164" fontId="11" fillId="8" borderId="1" xfId="1" applyFont="1" applyFill="1" applyBorder="1" applyAlignment="1">
      <alignment horizontal="center" vertical="center"/>
    </xf>
    <xf numFmtId="164" fontId="0" fillId="8" borderId="1" xfId="1" applyFont="1" applyFill="1" applyBorder="1"/>
    <xf numFmtId="43" fontId="0" fillId="8" borderId="1" xfId="0" applyNumberFormat="1" applyFill="1" applyBorder="1"/>
    <xf numFmtId="164" fontId="11" fillId="4" borderId="1" xfId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 vertical="center"/>
    </xf>
    <xf numFmtId="164" fontId="6" fillId="4" borderId="1" xfId="1" applyFont="1" applyFill="1" applyBorder="1" applyAlignment="1">
      <alignment horizontal="center" vertical="center"/>
    </xf>
    <xf numFmtId="165" fontId="11" fillId="4" borderId="1" xfId="1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 vertical="center"/>
    </xf>
    <xf numFmtId="168" fontId="11" fillId="9" borderId="1" xfId="0" applyNumberFormat="1" applyFont="1" applyFill="1" applyBorder="1" applyAlignment="1">
      <alignment horizontal="center" vertical="center" wrapText="1"/>
    </xf>
    <xf numFmtId="168" fontId="11" fillId="11" borderId="1" xfId="0" applyNumberFormat="1" applyFont="1" applyFill="1" applyBorder="1" applyAlignment="1">
      <alignment horizontal="center" vertical="center"/>
    </xf>
    <xf numFmtId="168" fontId="11" fillId="4" borderId="5" xfId="0" applyNumberFormat="1" applyFont="1" applyFill="1" applyBorder="1" applyAlignment="1">
      <alignment horizontal="center" vertical="center"/>
    </xf>
    <xf numFmtId="168" fontId="11" fillId="4" borderId="1" xfId="1" applyNumberFormat="1" applyFont="1" applyFill="1" applyBorder="1" applyAlignment="1">
      <alignment horizontal="center" vertical="center"/>
    </xf>
    <xf numFmtId="168" fontId="11" fillId="4" borderId="1" xfId="0" applyNumberFormat="1" applyFont="1" applyFill="1" applyBorder="1" applyAlignment="1">
      <alignment horizontal="center" vertical="center"/>
    </xf>
    <xf numFmtId="168" fontId="11" fillId="11" borderId="1" xfId="1" applyNumberFormat="1" applyFont="1" applyFill="1" applyBorder="1" applyAlignment="1">
      <alignment horizontal="center" vertical="center"/>
    </xf>
    <xf numFmtId="168" fontId="11" fillId="4" borderId="1" xfId="1" applyNumberFormat="1" applyFont="1" applyFill="1" applyBorder="1" applyAlignment="1">
      <alignment horizontal="center" vertical="center"/>
    </xf>
    <xf numFmtId="168" fontId="11" fillId="4" borderId="1" xfId="0" applyNumberFormat="1" applyFont="1" applyFill="1" applyBorder="1" applyAlignment="1">
      <alignment horizontal="center" vertical="center"/>
    </xf>
    <xf numFmtId="168" fontId="11" fillId="4" borderId="5" xfId="0" applyNumberFormat="1" applyFont="1" applyFill="1" applyBorder="1" applyAlignment="1">
      <alignment horizontal="center" vertical="center"/>
    </xf>
    <xf numFmtId="164" fontId="13" fillId="8" borderId="1" xfId="1" applyFont="1" applyFill="1" applyBorder="1" applyAlignment="1">
      <alignment horizontal="center" vertical="center"/>
    </xf>
    <xf numFmtId="164" fontId="13" fillId="14" borderId="1" xfId="1" applyFont="1" applyFill="1" applyBorder="1" applyAlignment="1">
      <alignment horizontal="center" vertical="center"/>
    </xf>
    <xf numFmtId="164" fontId="11" fillId="11" borderId="1" xfId="1" applyFont="1" applyFill="1" applyBorder="1" applyAlignment="1">
      <alignment horizontal="center" vertical="center" wrapText="1"/>
    </xf>
    <xf numFmtId="164" fontId="11" fillId="4" borderId="1" xfId="1" applyNumberFormat="1" applyFont="1" applyFill="1" applyBorder="1" applyAlignment="1">
      <alignment horizontal="center" vertical="center" wrapText="1"/>
    </xf>
    <xf numFmtId="0" fontId="25" fillId="9" borderId="2" xfId="0" applyFont="1" applyFill="1" applyBorder="1" applyAlignment="1">
      <alignment horizontal="center" vertical="center" wrapText="1"/>
    </xf>
    <xf numFmtId="0" fontId="25" fillId="9" borderId="1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5" fillId="9" borderId="2" xfId="0" applyFont="1" applyFill="1" applyBorder="1" applyAlignment="1">
      <alignment horizontal="center" vertical="center"/>
    </xf>
    <xf numFmtId="0" fontId="25" fillId="9" borderId="2" xfId="0" applyFont="1" applyFill="1" applyBorder="1" applyAlignment="1">
      <alignment vertical="center" wrapText="1"/>
    </xf>
    <xf numFmtId="165" fontId="25" fillId="9" borderId="2" xfId="1" applyNumberFormat="1" applyFont="1" applyFill="1" applyBorder="1" applyAlignment="1">
      <alignment horizontal="center" vertical="center" wrapText="1"/>
    </xf>
    <xf numFmtId="0" fontId="26" fillId="3" borderId="0" xfId="0" applyFont="1" applyFill="1" applyBorder="1" applyAlignment="1">
      <alignment horizontal="center" vertical="center"/>
    </xf>
    <xf numFmtId="0" fontId="26" fillId="3" borderId="0" xfId="0" applyFont="1" applyFill="1" applyBorder="1" applyAlignment="1">
      <alignment horizontal="center" vertical="center" wrapText="1"/>
    </xf>
    <xf numFmtId="0" fontId="26" fillId="3" borderId="0" xfId="0" applyFont="1" applyFill="1" applyBorder="1" applyAlignment="1">
      <alignment vertical="center" wrapText="1"/>
    </xf>
    <xf numFmtId="165" fontId="26" fillId="3" borderId="0" xfId="1" applyNumberFormat="1" applyFont="1" applyFill="1" applyBorder="1" applyAlignment="1">
      <alignment horizontal="center" vertical="center" wrapText="1"/>
    </xf>
    <xf numFmtId="165" fontId="26" fillId="0" borderId="0" xfId="0" applyNumberFormat="1" applyFont="1"/>
    <xf numFmtId="0" fontId="26" fillId="0" borderId="0" xfId="0" applyFont="1" applyAlignment="1">
      <alignment horizontal="center"/>
    </xf>
    <xf numFmtId="2" fontId="26" fillId="0" borderId="0" xfId="0" applyNumberFormat="1" applyFont="1" applyAlignment="1">
      <alignment horizontal="center" vertical="center"/>
    </xf>
    <xf numFmtId="165" fontId="26" fillId="16" borderId="0" xfId="1" applyNumberFormat="1" applyFont="1" applyFill="1" applyAlignment="1">
      <alignment horizontal="center" vertical="center"/>
    </xf>
    <xf numFmtId="165" fontId="26" fillId="0" borderId="0" xfId="1" applyNumberFormat="1" applyFont="1" applyFill="1" applyAlignment="1">
      <alignment horizontal="center" vertical="center"/>
    </xf>
    <xf numFmtId="165" fontId="26" fillId="16" borderId="0" xfId="0" applyNumberFormat="1" applyFont="1" applyFill="1"/>
    <xf numFmtId="2" fontId="26" fillId="0" borderId="0" xfId="0" applyNumberFormat="1" applyFont="1"/>
    <xf numFmtId="43" fontId="26" fillId="0" borderId="0" xfId="0" applyNumberFormat="1" applyFont="1"/>
    <xf numFmtId="165" fontId="25" fillId="0" borderId="0" xfId="1" applyNumberFormat="1" applyFont="1" applyFill="1" applyAlignment="1">
      <alignment horizontal="center" vertical="center"/>
    </xf>
    <xf numFmtId="165" fontId="26" fillId="4" borderId="0" xfId="1" applyNumberFormat="1" applyFont="1" applyFill="1" applyAlignment="1">
      <alignment horizontal="center" vertical="center"/>
    </xf>
    <xf numFmtId="165" fontId="26" fillId="4" borderId="0" xfId="0" applyNumberFormat="1" applyFont="1" applyFill="1"/>
    <xf numFmtId="165" fontId="26" fillId="0" borderId="0" xfId="1" applyNumberFormat="1" applyFont="1" applyAlignment="1">
      <alignment horizontal="center" vertical="center"/>
    </xf>
    <xf numFmtId="0" fontId="26" fillId="4" borderId="0" xfId="0" applyFont="1" applyFill="1"/>
    <xf numFmtId="0" fontId="26" fillId="0" borderId="0" xfId="0" applyFont="1" applyFill="1"/>
    <xf numFmtId="0" fontId="26" fillId="0" borderId="0" xfId="0" applyFont="1" applyFill="1" applyAlignment="1">
      <alignment horizontal="center"/>
    </xf>
    <xf numFmtId="0" fontId="26" fillId="0" borderId="0" xfId="0" applyFont="1" applyFill="1" applyAlignment="1">
      <alignment horizontal="center" vertical="center"/>
    </xf>
    <xf numFmtId="165" fontId="26" fillId="17" borderId="0" xfId="1" applyNumberFormat="1" applyFont="1" applyFill="1" applyAlignment="1">
      <alignment horizontal="center" vertical="center"/>
    </xf>
    <xf numFmtId="165" fontId="26" fillId="17" borderId="0" xfId="0" applyNumberFormat="1" applyFont="1" applyFill="1"/>
    <xf numFmtId="165" fontId="26" fillId="6" borderId="0" xfId="1" applyNumberFormat="1" applyFont="1" applyFill="1" applyAlignment="1">
      <alignment horizontal="center" vertical="center"/>
    </xf>
    <xf numFmtId="165" fontId="26" fillId="6" borderId="0" xfId="0" applyNumberFormat="1" applyFont="1" applyFill="1"/>
    <xf numFmtId="0" fontId="25" fillId="0" borderId="0" xfId="0" applyFont="1"/>
    <xf numFmtId="165" fontId="26" fillId="19" borderId="0" xfId="1" applyNumberFormat="1" applyFont="1" applyFill="1" applyAlignment="1">
      <alignment horizontal="center" vertical="center"/>
    </xf>
    <xf numFmtId="165" fontId="26" fillId="19" borderId="0" xfId="0" applyNumberFormat="1" applyFont="1" applyFill="1"/>
    <xf numFmtId="0" fontId="0" fillId="9" borderId="1" xfId="0" applyFill="1" applyBorder="1" applyAlignment="1">
      <alignment horizontal="center"/>
    </xf>
    <xf numFmtId="0" fontId="26" fillId="0" borderId="0" xfId="0" applyFont="1" applyAlignment="1">
      <alignment horizontal="center" vertical="center"/>
    </xf>
    <xf numFmtId="0" fontId="25" fillId="9" borderId="2" xfId="0" applyFont="1" applyFill="1" applyBorder="1" applyAlignment="1">
      <alignment horizontal="center" vertical="center" wrapText="1"/>
    </xf>
    <xf numFmtId="170" fontId="28" fillId="20" borderId="14" xfId="0" applyNumberFormat="1" applyFont="1" applyFill="1" applyBorder="1" applyAlignment="1">
      <alignment horizontal="center" vertical="center"/>
    </xf>
    <xf numFmtId="170" fontId="28" fillId="21" borderId="14" xfId="0" applyNumberFormat="1" applyFont="1" applyFill="1" applyBorder="1" applyAlignment="1">
      <alignment horizontal="center" vertical="center"/>
    </xf>
    <xf numFmtId="171" fontId="28" fillId="21" borderId="14" xfId="0" applyNumberFormat="1" applyFont="1" applyFill="1" applyBorder="1" applyAlignment="1">
      <alignment horizontal="center" vertical="center"/>
    </xf>
    <xf numFmtId="170" fontId="28" fillId="22" borderId="14" xfId="0" applyNumberFormat="1" applyFont="1" applyFill="1" applyBorder="1" applyAlignment="1">
      <alignment horizontal="center" vertical="center"/>
    </xf>
    <xf numFmtId="170" fontId="28" fillId="22" borderId="14" xfId="0" applyNumberFormat="1" applyFont="1" applyFill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 wrapText="1"/>
    </xf>
    <xf numFmtId="0" fontId="29" fillId="23" borderId="1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28" fillId="0" borderId="0" xfId="0" applyFont="1"/>
    <xf numFmtId="43" fontId="0" fillId="0" borderId="0" xfId="0" applyNumberFormat="1"/>
    <xf numFmtId="164" fontId="26" fillId="0" borderId="0" xfId="1" applyFont="1"/>
    <xf numFmtId="0" fontId="0" fillId="0" borderId="0" xfId="0" applyFont="1"/>
    <xf numFmtId="0" fontId="25" fillId="9" borderId="15" xfId="0" applyFont="1" applyFill="1" applyBorder="1" applyAlignment="1">
      <alignment horizontal="center" vertical="center" wrapText="1"/>
    </xf>
    <xf numFmtId="0" fontId="25" fillId="24" borderId="1" xfId="0" applyFont="1" applyFill="1" applyBorder="1" applyAlignment="1">
      <alignment horizontal="center" vertical="center"/>
    </xf>
    <xf numFmtId="0" fontId="26" fillId="24" borderId="1" xfId="0" applyFont="1" applyFill="1" applyBorder="1" applyAlignment="1">
      <alignment horizontal="center" vertical="center"/>
    </xf>
    <xf numFmtId="0" fontId="26" fillId="24" borderId="1" xfId="0" applyFont="1" applyFill="1" applyBorder="1"/>
    <xf numFmtId="165" fontId="26" fillId="24" borderId="1" xfId="0" applyNumberFormat="1" applyFont="1" applyFill="1" applyBorder="1"/>
    <xf numFmtId="165" fontId="26" fillId="9" borderId="0" xfId="1" applyNumberFormat="1" applyFont="1" applyFill="1" applyAlignment="1">
      <alignment horizontal="center" vertical="center"/>
    </xf>
    <xf numFmtId="165" fontId="26" fillId="9" borderId="0" xfId="0" applyNumberFormat="1" applyFont="1" applyFill="1"/>
    <xf numFmtId="165" fontId="26" fillId="25" borderId="0" xfId="1" applyNumberFormat="1" applyFont="1" applyFill="1" applyAlignment="1">
      <alignment horizontal="center" vertical="center"/>
    </xf>
    <xf numFmtId="165" fontId="26" fillId="25" borderId="0" xfId="0" applyNumberFormat="1" applyFont="1" applyFill="1"/>
    <xf numFmtId="0" fontId="26" fillId="0" borderId="0" xfId="0" applyFont="1" applyAlignment="1">
      <alignment horizontal="center" wrapText="1"/>
    </xf>
    <xf numFmtId="0" fontId="26" fillId="0" borderId="0" xfId="0" applyFont="1" applyAlignment="1">
      <alignment horizontal="center" vertical="center" wrapText="1"/>
    </xf>
    <xf numFmtId="0" fontId="3" fillId="9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7" fillId="9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7" fillId="9" borderId="3" xfId="0" applyFont="1" applyFill="1" applyBorder="1" applyAlignment="1">
      <alignment horizontal="center"/>
    </xf>
    <xf numFmtId="0" fontId="7" fillId="9" borderId="4" xfId="0" applyFont="1" applyFill="1" applyBorder="1" applyAlignment="1">
      <alignment horizontal="center"/>
    </xf>
    <xf numFmtId="0" fontId="7" fillId="9" borderId="5" xfId="0" applyFont="1" applyFill="1" applyBorder="1" applyAlignment="1">
      <alignment horizontal="center"/>
    </xf>
    <xf numFmtId="0" fontId="9" fillId="9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6" borderId="3" xfId="0" applyFill="1" applyBorder="1"/>
    <xf numFmtId="0" fontId="0" fillId="6" borderId="5" xfId="0" applyFill="1" applyBorder="1"/>
    <xf numFmtId="0" fontId="0" fillId="0" borderId="0" xfId="0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1" xfId="0" applyFill="1" applyBorder="1"/>
    <xf numFmtId="0" fontId="0" fillId="6" borderId="4" xfId="0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165" fontId="5" fillId="8" borderId="0" xfId="1" applyNumberFormat="1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26" fillId="0" borderId="0" xfId="0" applyFont="1" applyAlignment="1">
      <alignment horizontal="center" vertical="center" wrapText="1"/>
    </xf>
    <xf numFmtId="0" fontId="25" fillId="9" borderId="3" xfId="0" applyFont="1" applyFill="1" applyBorder="1" applyAlignment="1">
      <alignment horizontal="center"/>
    </xf>
    <xf numFmtId="0" fontId="25" fillId="9" borderId="4" xfId="0" applyFont="1" applyFill="1" applyBorder="1" applyAlignment="1">
      <alignment horizontal="center"/>
    </xf>
    <xf numFmtId="0" fontId="25" fillId="9" borderId="9" xfId="0" applyFont="1" applyFill="1" applyBorder="1" applyAlignment="1">
      <alignment horizontal="center"/>
    </xf>
    <xf numFmtId="0" fontId="25" fillId="9" borderId="5" xfId="0" applyFont="1" applyFill="1" applyBorder="1" applyAlignment="1">
      <alignment horizontal="center"/>
    </xf>
    <xf numFmtId="0" fontId="25" fillId="9" borderId="3" xfId="0" applyFont="1" applyFill="1" applyBorder="1" applyAlignment="1">
      <alignment horizontal="center" vertical="center" wrapText="1"/>
    </xf>
    <xf numFmtId="0" fontId="25" fillId="9" borderId="4" xfId="0" applyFont="1" applyFill="1" applyBorder="1" applyAlignment="1">
      <alignment horizontal="center" vertical="center" wrapText="1"/>
    </xf>
    <xf numFmtId="0" fontId="25" fillId="9" borderId="5" xfId="0" applyFont="1" applyFill="1" applyBorder="1" applyAlignment="1">
      <alignment horizontal="center" vertical="center" wrapText="1"/>
    </xf>
    <xf numFmtId="0" fontId="25" fillId="9" borderId="3" xfId="0" applyFont="1" applyFill="1" applyBorder="1" applyAlignment="1">
      <alignment horizontal="center" vertical="center"/>
    </xf>
    <xf numFmtId="0" fontId="25" fillId="9" borderId="5" xfId="0" applyFont="1" applyFill="1" applyBorder="1" applyAlignment="1">
      <alignment horizontal="center" vertical="center"/>
    </xf>
    <xf numFmtId="0" fontId="25" fillId="24" borderId="1" xfId="0" applyFont="1" applyFill="1" applyBorder="1" applyAlignment="1">
      <alignment horizontal="center" vertical="center"/>
    </xf>
    <xf numFmtId="0" fontId="25" fillId="9" borderId="6" xfId="0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center" vertical="center" wrapText="1"/>
    </xf>
    <xf numFmtId="0" fontId="25" fillId="9" borderId="2" xfId="0" applyFont="1" applyFill="1" applyBorder="1" applyAlignment="1">
      <alignment horizontal="center" vertical="center" wrapText="1"/>
    </xf>
    <xf numFmtId="0" fontId="25" fillId="9" borderId="1" xfId="0" applyFont="1" applyFill="1" applyBorder="1" applyAlignment="1">
      <alignment horizontal="center" vertical="center"/>
    </xf>
    <xf numFmtId="0" fontId="25" fillId="9" borderId="2" xfId="0" applyFont="1" applyFill="1" applyBorder="1" applyAlignment="1">
      <alignment horizontal="center" vertical="center"/>
    </xf>
    <xf numFmtId="0" fontId="25" fillId="9" borderId="8" xfId="0" applyFont="1" applyFill="1" applyBorder="1" applyAlignment="1">
      <alignment horizontal="center" vertical="center" wrapText="1"/>
    </xf>
    <xf numFmtId="0" fontId="25" fillId="24" borderId="3" xfId="0" applyFont="1" applyFill="1" applyBorder="1" applyAlignment="1">
      <alignment horizontal="center" vertical="center"/>
    </xf>
    <xf numFmtId="0" fontId="25" fillId="24" borderId="4" xfId="0" applyFont="1" applyFill="1" applyBorder="1" applyAlignment="1">
      <alignment horizontal="center" vertical="center"/>
    </xf>
    <xf numFmtId="0" fontId="25" fillId="24" borderId="5" xfId="0" applyFont="1" applyFill="1" applyBorder="1" applyAlignment="1">
      <alignment horizontal="center" vertical="center"/>
    </xf>
    <xf numFmtId="0" fontId="25" fillId="9" borderId="8" xfId="0" applyFont="1" applyFill="1" applyBorder="1" applyAlignment="1">
      <alignment horizontal="center" vertical="center"/>
    </xf>
    <xf numFmtId="165" fontId="25" fillId="9" borderId="1" xfId="1" applyNumberFormat="1" applyFont="1" applyFill="1" applyBorder="1" applyAlignment="1">
      <alignment horizontal="center" vertical="center" wrapText="1"/>
    </xf>
    <xf numFmtId="165" fontId="25" fillId="9" borderId="2" xfId="1" applyNumberFormat="1" applyFont="1" applyFill="1" applyBorder="1" applyAlignment="1">
      <alignment horizontal="center" vertical="center" wrapText="1"/>
    </xf>
    <xf numFmtId="0" fontId="26" fillId="0" borderId="0" xfId="0" applyFont="1" applyBorder="1" applyAlignment="1">
      <alignment horizontal="center" vertical="center" wrapText="1"/>
    </xf>
    <xf numFmtId="0" fontId="26" fillId="0" borderId="0" xfId="0" applyFont="1" applyFill="1" applyAlignment="1">
      <alignment horizontal="center" vertical="center" wrapText="1"/>
    </xf>
    <xf numFmtId="0" fontId="3" fillId="9" borderId="3" xfId="0" applyFont="1" applyFill="1" applyBorder="1" applyAlignment="1">
      <alignment horizontal="center"/>
    </xf>
    <xf numFmtId="0" fontId="3" fillId="9" borderId="4" xfId="0" applyFont="1" applyFill="1" applyBorder="1" applyAlignment="1">
      <alignment horizontal="center"/>
    </xf>
    <xf numFmtId="0" fontId="3" fillId="9" borderId="5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vertical="center" wrapText="1"/>
    </xf>
    <xf numFmtId="0" fontId="0" fillId="9" borderId="2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9" borderId="1" xfId="0" applyFill="1" applyBorder="1" applyAlignment="1">
      <alignment vertical="center"/>
    </xf>
    <xf numFmtId="165" fontId="25" fillId="9" borderId="1" xfId="1" applyNumberFormat="1" applyFont="1" applyFill="1" applyBorder="1" applyAlignment="1">
      <alignment horizontal="center"/>
    </xf>
    <xf numFmtId="165" fontId="25" fillId="9" borderId="3" xfId="1" applyNumberFormat="1" applyFont="1" applyFill="1" applyBorder="1" applyAlignment="1">
      <alignment horizontal="center"/>
    </xf>
    <xf numFmtId="165" fontId="25" fillId="9" borderId="4" xfId="1" applyNumberFormat="1" applyFont="1" applyFill="1" applyBorder="1" applyAlignment="1">
      <alignment horizontal="center"/>
    </xf>
    <xf numFmtId="165" fontId="25" fillId="9" borderId="5" xfId="1" applyNumberFormat="1" applyFont="1" applyFill="1" applyBorder="1" applyAlignment="1">
      <alignment horizontal="center"/>
    </xf>
    <xf numFmtId="0" fontId="25" fillId="9" borderId="7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168" fontId="11" fillId="4" borderId="1" xfId="0" applyNumberFormat="1" applyFont="1" applyFill="1" applyBorder="1" applyAlignment="1">
      <alignment horizontal="center" vertical="center"/>
    </xf>
    <xf numFmtId="168" fontId="11" fillId="4" borderId="1" xfId="1" applyNumberFormat="1" applyFont="1" applyFill="1" applyBorder="1" applyAlignment="1">
      <alignment horizontal="center" vertical="center"/>
    </xf>
    <xf numFmtId="168" fontId="11" fillId="4" borderId="3" xfId="0" applyNumberFormat="1" applyFont="1" applyFill="1" applyBorder="1" applyAlignment="1">
      <alignment horizontal="center" vertical="center"/>
    </xf>
    <xf numFmtId="168" fontId="11" fillId="4" borderId="5" xfId="0" applyNumberFormat="1" applyFont="1" applyFill="1" applyBorder="1" applyAlignment="1">
      <alignment horizontal="center" vertical="center"/>
    </xf>
    <xf numFmtId="168" fontId="11" fillId="9" borderId="1" xfId="0" applyNumberFormat="1" applyFont="1" applyFill="1" applyBorder="1" applyAlignment="1">
      <alignment horizontal="center" vertical="center" wrapText="1"/>
    </xf>
    <xf numFmtId="168" fontId="11" fillId="11" borderId="1" xfId="0" applyNumberFormat="1" applyFont="1" applyFill="1" applyBorder="1" applyAlignment="1">
      <alignment horizontal="center" vertical="center" textRotation="90" wrapText="1"/>
    </xf>
    <xf numFmtId="168" fontId="11" fillId="11" borderId="2" xfId="1" applyNumberFormat="1" applyFont="1" applyFill="1" applyBorder="1" applyAlignment="1">
      <alignment horizontal="center" vertical="center"/>
    </xf>
    <xf numFmtId="168" fontId="11" fillId="11" borderId="8" xfId="1" applyNumberFormat="1" applyFont="1" applyFill="1" applyBorder="1" applyAlignment="1">
      <alignment horizontal="center" vertical="center"/>
    </xf>
    <xf numFmtId="168" fontId="11" fillId="11" borderId="7" xfId="1" applyNumberFormat="1" applyFont="1" applyFill="1" applyBorder="1" applyAlignment="1">
      <alignment horizontal="center" vertical="center"/>
    </xf>
    <xf numFmtId="168" fontId="11" fillId="4" borderId="1" xfId="0" applyNumberFormat="1" applyFont="1" applyFill="1" applyBorder="1" applyAlignment="1">
      <alignment horizontal="center" vertical="center" textRotation="90" wrapText="1"/>
    </xf>
    <xf numFmtId="168" fontId="11" fillId="4" borderId="1" xfId="0" applyNumberFormat="1" applyFont="1" applyFill="1" applyBorder="1" applyAlignment="1">
      <alignment horizontal="center" vertical="center" textRotation="90"/>
    </xf>
    <xf numFmtId="168" fontId="11" fillId="11" borderId="1" xfId="0" applyNumberFormat="1" applyFont="1" applyFill="1" applyBorder="1" applyAlignment="1">
      <alignment horizontal="center" vertical="center"/>
    </xf>
    <xf numFmtId="168" fontId="11" fillId="12" borderId="2" xfId="0" applyNumberFormat="1" applyFont="1" applyFill="1" applyBorder="1" applyAlignment="1">
      <alignment horizontal="center" vertical="center" textRotation="90" wrapText="1"/>
    </xf>
    <xf numFmtId="168" fontId="11" fillId="12" borderId="8" xfId="0" applyNumberFormat="1" applyFont="1" applyFill="1" applyBorder="1" applyAlignment="1">
      <alignment horizontal="center" vertical="center" textRotation="90" wrapText="1"/>
    </xf>
    <xf numFmtId="168" fontId="11" fillId="12" borderId="7" xfId="0" applyNumberFormat="1" applyFont="1" applyFill="1" applyBorder="1" applyAlignment="1">
      <alignment horizontal="center" vertical="center" textRotation="90" wrapText="1"/>
    </xf>
    <xf numFmtId="168" fontId="11" fillId="12" borderId="2" xfId="0" applyNumberFormat="1" applyFont="1" applyFill="1" applyBorder="1" applyAlignment="1">
      <alignment horizontal="center" vertical="center"/>
    </xf>
    <xf numFmtId="168" fontId="11" fillId="12" borderId="8" xfId="0" applyNumberFormat="1" applyFont="1" applyFill="1" applyBorder="1" applyAlignment="1">
      <alignment horizontal="center" vertical="center"/>
    </xf>
    <xf numFmtId="168" fontId="11" fillId="12" borderId="7" xfId="0" applyNumberFormat="1" applyFont="1" applyFill="1" applyBorder="1" applyAlignment="1">
      <alignment horizontal="center" vertical="center"/>
    </xf>
    <xf numFmtId="168" fontId="11" fillId="12" borderId="1" xfId="0" applyNumberFormat="1" applyFont="1" applyFill="1" applyBorder="1" applyAlignment="1">
      <alignment horizontal="center" vertical="center" wrapText="1"/>
    </xf>
    <xf numFmtId="168" fontId="11" fillId="11" borderId="9" xfId="1" applyNumberFormat="1" applyFont="1" applyFill="1" applyBorder="1" applyAlignment="1">
      <alignment horizontal="center" vertical="center" textRotation="90" wrapText="1"/>
    </xf>
    <xf numFmtId="168" fontId="11" fillId="11" borderId="0" xfId="1" applyNumberFormat="1" applyFont="1" applyFill="1" applyBorder="1" applyAlignment="1">
      <alignment horizontal="center" vertical="center" textRotation="90" wrapText="1"/>
    </xf>
    <xf numFmtId="168" fontId="11" fillId="11" borderId="13" xfId="1" applyNumberFormat="1" applyFont="1" applyFill="1" applyBorder="1" applyAlignment="1">
      <alignment horizontal="center" vertical="center" textRotation="90" wrapText="1"/>
    </xf>
    <xf numFmtId="168" fontId="11" fillId="12" borderId="1" xfId="1" applyNumberFormat="1" applyFont="1" applyFill="1" applyBorder="1" applyAlignment="1">
      <alignment horizontal="center" vertical="center"/>
    </xf>
    <xf numFmtId="168" fontId="11" fillId="11" borderId="1" xfId="1" applyNumberFormat="1" applyFont="1" applyFill="1" applyBorder="1" applyAlignment="1">
      <alignment horizontal="center" vertical="center"/>
    </xf>
    <xf numFmtId="168" fontId="11" fillId="11" borderId="9" xfId="1" applyNumberFormat="1" applyFont="1" applyFill="1" applyBorder="1" applyAlignment="1">
      <alignment horizontal="center" vertical="center" textRotation="90"/>
    </xf>
    <xf numFmtId="168" fontId="11" fillId="11" borderId="0" xfId="1" applyNumberFormat="1" applyFont="1" applyFill="1" applyBorder="1" applyAlignment="1">
      <alignment horizontal="center" vertical="center" textRotation="90"/>
    </xf>
    <xf numFmtId="0" fontId="27" fillId="0" borderId="13" xfId="0" applyFont="1" applyBorder="1" applyAlignment="1">
      <alignment horizontal="center" vertical="center"/>
    </xf>
    <xf numFmtId="0" fontId="30" fillId="23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textRotation="90"/>
    </xf>
    <xf numFmtId="0" fontId="3" fillId="3" borderId="7" xfId="0" applyFont="1" applyFill="1" applyBorder="1" applyAlignment="1">
      <alignment vertical="center" textRotation="90"/>
    </xf>
    <xf numFmtId="0" fontId="0" fillId="2" borderId="1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CC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3</xdr:row>
      <xdr:rowOff>150495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71D4C371-949E-41E4-BF5C-5F035D8BEA3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4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47</xdr:row>
      <xdr:rowOff>0</xdr:rowOff>
    </xdr:from>
    <xdr:ext cx="304800" cy="317305"/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B7A939C6-3BE9-465B-BF52-DF0AC2ED7BD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333500"/>
          <a:ext cx="304800" cy="317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" name="AutoShape 4">
          <a:extLst>
            <a:ext uri="{FF2B5EF4-FFF2-40B4-BE49-F238E27FC236}">
              <a16:creationId xmlns:a16="http://schemas.microsoft.com/office/drawing/2014/main" id="{F720E762-A806-4109-A8E2-FD1C48F0F102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93</xdr:row>
      <xdr:rowOff>0</xdr:rowOff>
    </xdr:from>
    <xdr:ext cx="304800" cy="306733"/>
    <xdr:sp macro="" textlink="">
      <xdr:nvSpPr>
        <xdr:cNvPr id="6" name="AutoShape 4">
          <a:extLst>
            <a:ext uri="{FF2B5EF4-FFF2-40B4-BE49-F238E27FC236}">
              <a16:creationId xmlns:a16="http://schemas.microsoft.com/office/drawing/2014/main" id="{FB00CDC8-D227-4C55-811B-5C9A09E8CE5B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333500"/>
          <a:ext cx="304800" cy="3067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93</xdr:row>
      <xdr:rowOff>0</xdr:rowOff>
    </xdr:from>
    <xdr:ext cx="304800" cy="306733"/>
    <xdr:sp macro="" textlink="">
      <xdr:nvSpPr>
        <xdr:cNvPr id="7" name="AutoShape 4">
          <a:extLst>
            <a:ext uri="{FF2B5EF4-FFF2-40B4-BE49-F238E27FC236}">
              <a16:creationId xmlns:a16="http://schemas.microsoft.com/office/drawing/2014/main" id="{9AD3B538-29C9-43A5-82BC-11E688369FDF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333500"/>
          <a:ext cx="304800" cy="3067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181</xdr:row>
      <xdr:rowOff>0</xdr:rowOff>
    </xdr:from>
    <xdr:ext cx="304800" cy="304800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39CAE33E-A7A2-4198-B332-675683301515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224</xdr:row>
      <xdr:rowOff>0</xdr:rowOff>
    </xdr:from>
    <xdr:ext cx="304800" cy="304800"/>
    <xdr:sp macro="" textlink="">
      <xdr:nvSpPr>
        <xdr:cNvPr id="9" name="AutoShape 4">
          <a:extLst>
            <a:ext uri="{FF2B5EF4-FFF2-40B4-BE49-F238E27FC236}">
              <a16:creationId xmlns:a16="http://schemas.microsoft.com/office/drawing/2014/main" id="{20B719EF-3DDA-4FCC-9863-821159138251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</xdr:row>
      <xdr:rowOff>0</xdr:rowOff>
    </xdr:from>
    <xdr:ext cx="304800" cy="312420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D307467-85EC-4A8A-9D8E-760515FFFC8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715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148751</xdr:rowOff>
    </xdr:to>
    <xdr:sp macro="" textlink="">
      <xdr:nvSpPr>
        <xdr:cNvPr id="2" name="AutoShape 4">
          <a:extLst>
            <a:ext uri="{FF2B5EF4-FFF2-40B4-BE49-F238E27FC236}">
              <a16:creationId xmlns:a16="http://schemas.microsoft.com/office/drawing/2014/main" id="{59248D25-F677-475F-99AB-DA340ED1D9C8}"/>
            </a:ext>
          </a:extLst>
        </xdr:cNvPr>
        <xdr:cNvSpPr>
          <a:spLocks noChangeAspect="1" noChangeArrowheads="1"/>
        </xdr:cNvSpPr>
      </xdr:nvSpPr>
      <xdr:spPr bwMode="auto">
        <a:xfrm>
          <a:off x="4518660" y="172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37</xdr:row>
      <xdr:rowOff>0</xdr:rowOff>
    </xdr:from>
    <xdr:ext cx="304800" cy="307472"/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0EBC1605-160F-417E-8DA4-AA66E092BC99}"/>
            </a:ext>
          </a:extLst>
        </xdr:cNvPr>
        <xdr:cNvSpPr>
          <a:spLocks noChangeAspect="1" noChangeArrowheads="1"/>
        </xdr:cNvSpPr>
      </xdr:nvSpPr>
      <xdr:spPr bwMode="auto">
        <a:xfrm>
          <a:off x="857250" y="1524000"/>
          <a:ext cx="304800" cy="3074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76</xdr:row>
      <xdr:rowOff>0</xdr:rowOff>
    </xdr:from>
    <xdr:ext cx="304800" cy="316750"/>
    <xdr:sp macro="" textlink="">
      <xdr:nvSpPr>
        <xdr:cNvPr id="4" name="AutoShape 4">
          <a:extLst>
            <a:ext uri="{FF2B5EF4-FFF2-40B4-BE49-F238E27FC236}">
              <a16:creationId xmlns:a16="http://schemas.microsoft.com/office/drawing/2014/main" id="{661D070F-0D69-4171-977D-A5D48A23CFAD}"/>
            </a:ext>
          </a:extLst>
        </xdr:cNvPr>
        <xdr:cNvSpPr>
          <a:spLocks noChangeAspect="1" noChangeArrowheads="1"/>
        </xdr:cNvSpPr>
      </xdr:nvSpPr>
      <xdr:spPr bwMode="auto">
        <a:xfrm>
          <a:off x="6981825" y="1524000"/>
          <a:ext cx="304800" cy="31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118</xdr:row>
      <xdr:rowOff>0</xdr:rowOff>
    </xdr:from>
    <xdr:ext cx="304800" cy="314832"/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F5BCEEA0-016F-4AF4-BB6F-69D4FC083276}"/>
            </a:ext>
          </a:extLst>
        </xdr:cNvPr>
        <xdr:cNvSpPr>
          <a:spLocks noChangeAspect="1" noChangeArrowheads="1"/>
        </xdr:cNvSpPr>
      </xdr:nvSpPr>
      <xdr:spPr bwMode="auto">
        <a:xfrm>
          <a:off x="4048125" y="1524000"/>
          <a:ext cx="304800" cy="3148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160</xdr:row>
      <xdr:rowOff>0</xdr:rowOff>
    </xdr:from>
    <xdr:ext cx="304800" cy="307128"/>
    <xdr:sp macro="" textlink="">
      <xdr:nvSpPr>
        <xdr:cNvPr id="6" name="AutoShape 4">
          <a:extLst>
            <a:ext uri="{FF2B5EF4-FFF2-40B4-BE49-F238E27FC236}">
              <a16:creationId xmlns:a16="http://schemas.microsoft.com/office/drawing/2014/main" id="{301A8AD2-9B94-408F-9F09-C39E709459BF}"/>
            </a:ext>
          </a:extLst>
        </xdr:cNvPr>
        <xdr:cNvSpPr>
          <a:spLocks noChangeAspect="1" noChangeArrowheads="1"/>
        </xdr:cNvSpPr>
      </xdr:nvSpPr>
      <xdr:spPr bwMode="auto">
        <a:xfrm>
          <a:off x="3905250" y="1524000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197</xdr:row>
      <xdr:rowOff>0</xdr:rowOff>
    </xdr:from>
    <xdr:ext cx="304800" cy="312420"/>
    <xdr:sp macro="" textlink="">
      <xdr:nvSpPr>
        <xdr:cNvPr id="7" name="AutoShape 4">
          <a:extLst>
            <a:ext uri="{FF2B5EF4-FFF2-40B4-BE49-F238E27FC236}">
              <a16:creationId xmlns:a16="http://schemas.microsoft.com/office/drawing/2014/main" id="{74C89B5D-3A85-469C-8FF8-6187A8A386CA}"/>
            </a:ext>
          </a:extLst>
        </xdr:cNvPr>
        <xdr:cNvSpPr>
          <a:spLocks noChangeAspect="1" noChangeArrowheads="1"/>
        </xdr:cNvSpPr>
      </xdr:nvSpPr>
      <xdr:spPr bwMode="auto">
        <a:xfrm>
          <a:off x="2571750" y="11430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1009135</xdr:colOff>
      <xdr:row>3</xdr:row>
      <xdr:rowOff>185350</xdr:rowOff>
    </xdr:from>
    <xdr:to>
      <xdr:col>1</xdr:col>
      <xdr:colOff>1313935</xdr:colOff>
      <xdr:row>5</xdr:row>
      <xdr:rowOff>165652</xdr:rowOff>
    </xdr:to>
    <xdr:sp macro="" textlink="">
      <xdr:nvSpPr>
        <xdr:cNvPr id="2" name="AutoShape 4">
          <a:extLst>
            <a:ext uri="{FF2B5EF4-FFF2-40B4-BE49-F238E27FC236}">
              <a16:creationId xmlns:a16="http://schemas.microsoft.com/office/drawing/2014/main" id="{D10F6A86-FB8B-4568-8D76-C0A0E85026DD}"/>
            </a:ext>
          </a:extLst>
        </xdr:cNvPr>
        <xdr:cNvSpPr>
          <a:spLocks noChangeAspect="1" noChangeArrowheads="1"/>
        </xdr:cNvSpPr>
      </xdr:nvSpPr>
      <xdr:spPr bwMode="auto">
        <a:xfrm>
          <a:off x="5529649" y="792891"/>
          <a:ext cx="304800" cy="3099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1009135</xdr:colOff>
      <xdr:row>45</xdr:row>
      <xdr:rowOff>185350</xdr:rowOff>
    </xdr:from>
    <xdr:ext cx="653626" cy="28097"/>
    <xdr:sp macro="" textlink="">
      <xdr:nvSpPr>
        <xdr:cNvPr id="4" name="AutoShape 4">
          <a:extLst>
            <a:ext uri="{FF2B5EF4-FFF2-40B4-BE49-F238E27FC236}">
              <a16:creationId xmlns:a16="http://schemas.microsoft.com/office/drawing/2014/main" id="{914B6FFE-C28B-42B2-BC5C-7DF75F51E12D}"/>
            </a:ext>
          </a:extLst>
        </xdr:cNvPr>
        <xdr:cNvSpPr>
          <a:spLocks noChangeAspect="1" noChangeArrowheads="1"/>
        </xdr:cNvSpPr>
      </xdr:nvSpPr>
      <xdr:spPr bwMode="auto">
        <a:xfrm>
          <a:off x="1818760" y="375850"/>
          <a:ext cx="653626" cy="280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1009135</xdr:colOff>
      <xdr:row>86</xdr:row>
      <xdr:rowOff>0</xdr:rowOff>
    </xdr:from>
    <xdr:ext cx="1407744" cy="22948"/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10CDF535-D89E-4AD8-BD14-D7ED3F6CFEBA}"/>
            </a:ext>
          </a:extLst>
        </xdr:cNvPr>
        <xdr:cNvSpPr>
          <a:spLocks noChangeAspect="1" noChangeArrowheads="1"/>
        </xdr:cNvSpPr>
      </xdr:nvSpPr>
      <xdr:spPr bwMode="auto">
        <a:xfrm>
          <a:off x="3037960" y="571500"/>
          <a:ext cx="1407744" cy="229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1009135</xdr:colOff>
      <xdr:row>126</xdr:row>
      <xdr:rowOff>185350</xdr:rowOff>
    </xdr:from>
    <xdr:ext cx="651510" cy="319835"/>
    <xdr:sp macro="" textlink="">
      <xdr:nvSpPr>
        <xdr:cNvPr id="6" name="AutoShape 4">
          <a:extLst>
            <a:ext uri="{FF2B5EF4-FFF2-40B4-BE49-F238E27FC236}">
              <a16:creationId xmlns:a16="http://schemas.microsoft.com/office/drawing/2014/main" id="{D4622C72-2577-4F64-8EB1-028FEC48801D}"/>
            </a:ext>
          </a:extLst>
        </xdr:cNvPr>
        <xdr:cNvSpPr>
          <a:spLocks noChangeAspect="1" noChangeArrowheads="1"/>
        </xdr:cNvSpPr>
      </xdr:nvSpPr>
      <xdr:spPr bwMode="auto">
        <a:xfrm>
          <a:off x="2428360" y="756850"/>
          <a:ext cx="651510" cy="3198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7</xdr:row>
      <xdr:rowOff>0</xdr:rowOff>
    </xdr:from>
    <xdr:to>
      <xdr:col>3</xdr:col>
      <xdr:colOff>304800</xdr:colOff>
      <xdr:row>8</xdr:row>
      <xdr:rowOff>121921</xdr:rowOff>
    </xdr:to>
    <xdr:sp macro="" textlink="">
      <xdr:nvSpPr>
        <xdr:cNvPr id="2" name="AutoShape 4">
          <a:extLst>
            <a:ext uri="{FF2B5EF4-FFF2-40B4-BE49-F238E27FC236}">
              <a16:creationId xmlns:a16="http://schemas.microsoft.com/office/drawing/2014/main" id="{F684D402-2A60-46F3-984C-5C0255F7FF8C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28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304800</xdr:colOff>
      <xdr:row>8</xdr:row>
      <xdr:rowOff>121921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CAB79411-0810-4620-ACB2-FAF006CDC23E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28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12</xdr:col>
      <xdr:colOff>0</xdr:colOff>
      <xdr:row>7</xdr:row>
      <xdr:rowOff>0</xdr:rowOff>
    </xdr:from>
    <xdr:ext cx="304800" cy="304800"/>
    <xdr:sp macro="" textlink="">
      <xdr:nvSpPr>
        <xdr:cNvPr id="4" name="AutoShape 4">
          <a:extLst>
            <a:ext uri="{FF2B5EF4-FFF2-40B4-BE49-F238E27FC236}">
              <a16:creationId xmlns:a16="http://schemas.microsoft.com/office/drawing/2014/main" id="{56A88B0B-C183-4DA2-B864-DC2D0F01CA2C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28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7</xdr:row>
      <xdr:rowOff>0</xdr:rowOff>
    </xdr:from>
    <xdr:ext cx="304800" cy="304800"/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B9414D99-714C-49ED-BC99-09FDBA7A0C60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28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19</xdr:col>
      <xdr:colOff>540151</xdr:colOff>
      <xdr:row>5</xdr:row>
      <xdr:rowOff>28937</xdr:rowOff>
    </xdr:from>
    <xdr:to>
      <xdr:col>29</xdr:col>
      <xdr:colOff>590453</xdr:colOff>
      <xdr:row>35</xdr:row>
      <xdr:rowOff>35932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A3276A8-7D59-26FE-30DE-B16474BFB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87645" y="945266"/>
          <a:ext cx="6127011" cy="5919729"/>
        </a:xfrm>
        <a:prstGeom prst="rect">
          <a:avLst/>
        </a:prstGeom>
      </xdr:spPr>
    </xdr:pic>
    <xdr:clientData/>
  </xdr:twoCellAnchor>
  <xdr:twoCellAnchor editAs="oneCell">
    <xdr:from>
      <xdr:col>19</xdr:col>
      <xdr:colOff>540151</xdr:colOff>
      <xdr:row>5</xdr:row>
      <xdr:rowOff>28937</xdr:rowOff>
    </xdr:from>
    <xdr:to>
      <xdr:col>29</xdr:col>
      <xdr:colOff>588475</xdr:colOff>
      <xdr:row>35</xdr:row>
      <xdr:rowOff>34049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40313B8-E650-4002-9705-0B98A9171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87645" y="945266"/>
          <a:ext cx="6125033" cy="59178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5D2BF-A02C-4686-9027-FF28A3D68035}">
  <dimension ref="C3:R32"/>
  <sheetViews>
    <sheetView topLeftCell="F1" workbookViewId="0">
      <selection activeCell="H13" sqref="H13"/>
    </sheetView>
  </sheetViews>
  <sheetFormatPr defaultRowHeight="15" x14ac:dyDescent="0.25"/>
  <cols>
    <col min="7" max="7" width="21.7109375" bestFit="1" customWidth="1"/>
    <col min="8" max="8" width="10.42578125" customWidth="1"/>
    <col min="10" max="10" width="3.85546875" bestFit="1" customWidth="1"/>
    <col min="11" max="11" width="11.7109375" bestFit="1" customWidth="1"/>
    <col min="12" max="12" width="23.140625" bestFit="1" customWidth="1"/>
    <col min="13" max="13" width="13.28515625" bestFit="1" customWidth="1"/>
    <col min="17" max="17" width="13.140625" bestFit="1" customWidth="1"/>
    <col min="18" max="18" width="12.42578125" customWidth="1"/>
  </cols>
  <sheetData>
    <row r="3" spans="3:18" x14ac:dyDescent="0.25">
      <c r="J3" s="444" t="s">
        <v>361</v>
      </c>
      <c r="K3" s="444"/>
      <c r="L3" s="444"/>
      <c r="M3" s="444"/>
      <c r="O3" s="445" t="s">
        <v>362</v>
      </c>
      <c r="P3" s="445"/>
      <c r="Q3" s="445"/>
      <c r="R3" s="445"/>
    </row>
    <row r="4" spans="3:18" x14ac:dyDescent="0.25">
      <c r="C4" t="s">
        <v>209</v>
      </c>
      <c r="D4">
        <v>5</v>
      </c>
      <c r="G4" t="s">
        <v>318</v>
      </c>
      <c r="H4">
        <v>45</v>
      </c>
      <c r="J4" s="61">
        <v>1</v>
      </c>
      <c r="K4" s="62" t="s">
        <v>331</v>
      </c>
      <c r="L4" s="63" t="s">
        <v>332</v>
      </c>
      <c r="M4" s="73">
        <v>5000000</v>
      </c>
      <c r="O4" s="64">
        <v>8</v>
      </c>
      <c r="P4" s="70" t="s">
        <v>340</v>
      </c>
      <c r="Q4" s="66" t="s">
        <v>341</v>
      </c>
      <c r="R4" s="67">
        <f>100000*26</f>
        <v>2600000</v>
      </c>
    </row>
    <row r="5" spans="3:18" x14ac:dyDescent="0.25">
      <c r="C5" t="s">
        <v>211</v>
      </c>
      <c r="D5">
        <v>3.5</v>
      </c>
      <c r="G5" t="s">
        <v>206</v>
      </c>
      <c r="H5">
        <v>3</v>
      </c>
      <c r="J5" s="61">
        <v>5</v>
      </c>
      <c r="K5" s="68" t="s">
        <v>313</v>
      </c>
      <c r="L5" s="66" t="s">
        <v>367</v>
      </c>
      <c r="M5" s="69">
        <v>3000000</v>
      </c>
      <c r="O5" s="61">
        <v>13</v>
      </c>
      <c r="P5" s="65" t="s">
        <v>349</v>
      </c>
      <c r="Q5" s="66" t="s">
        <v>350</v>
      </c>
      <c r="R5" s="67">
        <f>100000*26</f>
        <v>2600000</v>
      </c>
    </row>
    <row r="6" spans="3:18" x14ac:dyDescent="0.25">
      <c r="C6" t="s">
        <v>313</v>
      </c>
      <c r="D6">
        <v>5</v>
      </c>
      <c r="G6" t="s">
        <v>203</v>
      </c>
      <c r="H6">
        <v>5</v>
      </c>
      <c r="J6" s="64">
        <v>2</v>
      </c>
      <c r="K6" s="65" t="s">
        <v>333</v>
      </c>
      <c r="L6" s="66" t="s">
        <v>334</v>
      </c>
      <c r="M6" s="69">
        <v>3500000</v>
      </c>
    </row>
    <row r="7" spans="3:18" x14ac:dyDescent="0.25">
      <c r="C7" t="s">
        <v>210</v>
      </c>
      <c r="D7">
        <v>5</v>
      </c>
      <c r="G7" t="s">
        <v>204</v>
      </c>
      <c r="H7">
        <v>4.5</v>
      </c>
      <c r="J7" s="61">
        <v>3</v>
      </c>
      <c r="K7" s="68" t="s">
        <v>335</v>
      </c>
      <c r="L7" s="66" t="s">
        <v>366</v>
      </c>
      <c r="M7" s="69">
        <v>3000000</v>
      </c>
    </row>
    <row r="8" spans="3:18" x14ac:dyDescent="0.25">
      <c r="C8" t="s">
        <v>314</v>
      </c>
      <c r="D8">
        <v>5</v>
      </c>
      <c r="G8" t="s">
        <v>205</v>
      </c>
      <c r="H8" s="75">
        <f>7*11.5/12</f>
        <v>6.708333333333333</v>
      </c>
      <c r="J8" s="64">
        <v>4</v>
      </c>
      <c r="K8" s="65" t="s">
        <v>336</v>
      </c>
      <c r="L8" s="66" t="s">
        <v>337</v>
      </c>
      <c r="M8" s="69">
        <v>5000000</v>
      </c>
    </row>
    <row r="9" spans="3:18" x14ac:dyDescent="0.25">
      <c r="C9" t="s">
        <v>212</v>
      </c>
      <c r="D9">
        <v>3.5</v>
      </c>
      <c r="G9" t="s">
        <v>207</v>
      </c>
      <c r="H9">
        <v>5</v>
      </c>
      <c r="J9" s="64">
        <v>6</v>
      </c>
      <c r="K9" s="70" t="s">
        <v>338</v>
      </c>
      <c r="L9" s="66" t="s">
        <v>339</v>
      </c>
      <c r="M9" s="69">
        <v>2500000</v>
      </c>
    </row>
    <row r="10" spans="3:18" x14ac:dyDescent="0.25">
      <c r="C10" t="s">
        <v>213</v>
      </c>
      <c r="D10">
        <v>2.5</v>
      </c>
      <c r="G10" t="s">
        <v>208</v>
      </c>
      <c r="H10">
        <v>1.5</v>
      </c>
      <c r="J10" s="61">
        <v>7</v>
      </c>
      <c r="K10" s="70" t="s">
        <v>340</v>
      </c>
      <c r="L10" s="66" t="s">
        <v>363</v>
      </c>
      <c r="M10" s="69">
        <f>3500000-R4</f>
        <v>900000</v>
      </c>
    </row>
    <row r="11" spans="3:18" x14ac:dyDescent="0.25">
      <c r="C11" t="s">
        <v>214</v>
      </c>
      <c r="D11">
        <v>2.5</v>
      </c>
      <c r="G11" t="s">
        <v>216</v>
      </c>
      <c r="H11">
        <v>3</v>
      </c>
      <c r="J11" s="64">
        <v>8</v>
      </c>
      <c r="K11" s="70" t="s">
        <v>342</v>
      </c>
      <c r="L11" s="66" t="s">
        <v>343</v>
      </c>
      <c r="M11" s="69">
        <v>2500000</v>
      </c>
    </row>
    <row r="12" spans="3:18" x14ac:dyDescent="0.25">
      <c r="C12" t="s">
        <v>215</v>
      </c>
      <c r="D12">
        <v>2.5</v>
      </c>
      <c r="G12" t="s">
        <v>217</v>
      </c>
      <c r="H12">
        <v>3</v>
      </c>
      <c r="J12" s="61">
        <v>9</v>
      </c>
      <c r="K12" s="65" t="s">
        <v>344</v>
      </c>
      <c r="L12" s="66" t="s">
        <v>345</v>
      </c>
      <c r="M12" s="69">
        <v>1800000</v>
      </c>
    </row>
    <row r="13" spans="3:18" x14ac:dyDescent="0.25">
      <c r="C13" t="s">
        <v>315</v>
      </c>
      <c r="D13">
        <v>2.5</v>
      </c>
      <c r="H13" s="76">
        <f>+H4+H6+H8+H5+H9+H10+H11+H12+H7</f>
        <v>76.708333333333343</v>
      </c>
      <c r="J13" s="64">
        <v>10</v>
      </c>
      <c r="K13" s="65" t="s">
        <v>346</v>
      </c>
      <c r="L13" s="66" t="s">
        <v>347</v>
      </c>
      <c r="M13" s="69">
        <v>2500000</v>
      </c>
    </row>
    <row r="14" spans="3:18" x14ac:dyDescent="0.25">
      <c r="C14" t="s">
        <v>316</v>
      </c>
      <c r="D14">
        <v>2.5</v>
      </c>
      <c r="J14" s="61">
        <v>11</v>
      </c>
      <c r="K14" s="65" t="s">
        <v>348</v>
      </c>
      <c r="L14" s="66" t="s">
        <v>345</v>
      </c>
      <c r="M14" s="69">
        <v>2500000</v>
      </c>
    </row>
    <row r="15" spans="3:18" x14ac:dyDescent="0.25">
      <c r="C15" t="s">
        <v>317</v>
      </c>
      <c r="D15">
        <v>2.5</v>
      </c>
      <c r="J15" s="64">
        <v>12</v>
      </c>
      <c r="K15" s="65" t="s">
        <v>349</v>
      </c>
      <c r="L15" s="66" t="s">
        <v>350</v>
      </c>
      <c r="M15" s="69">
        <f>3500000-R5</f>
        <v>900000</v>
      </c>
    </row>
    <row r="16" spans="3:18" x14ac:dyDescent="0.25">
      <c r="C16" t="s">
        <v>319</v>
      </c>
      <c r="D16">
        <v>2.5</v>
      </c>
      <c r="J16" s="61">
        <v>13</v>
      </c>
      <c r="K16" s="72" t="s">
        <v>351</v>
      </c>
      <c r="L16" s="66" t="s">
        <v>352</v>
      </c>
      <c r="M16" s="69">
        <v>2000000</v>
      </c>
    </row>
    <row r="17" spans="8:13" x14ac:dyDescent="0.25">
      <c r="J17" s="64">
        <v>14</v>
      </c>
      <c r="K17" s="21"/>
      <c r="L17" s="66" t="s">
        <v>364</v>
      </c>
      <c r="M17" s="69">
        <v>1800000</v>
      </c>
    </row>
    <row r="18" spans="8:13" x14ac:dyDescent="0.25">
      <c r="H18" s="16"/>
      <c r="J18" s="61">
        <v>15</v>
      </c>
      <c r="K18" s="21"/>
      <c r="L18" s="66" t="s">
        <v>363</v>
      </c>
      <c r="M18" s="69">
        <v>2500000</v>
      </c>
    </row>
    <row r="19" spans="8:13" x14ac:dyDescent="0.25">
      <c r="J19" s="64">
        <v>16</v>
      </c>
      <c r="K19" s="21" t="s">
        <v>314</v>
      </c>
      <c r="L19" s="21" t="s">
        <v>365</v>
      </c>
      <c r="M19" s="69">
        <v>5000000</v>
      </c>
    </row>
    <row r="20" spans="8:13" x14ac:dyDescent="0.25">
      <c r="J20" s="21"/>
      <c r="K20" s="446"/>
      <c r="L20" s="447"/>
      <c r="M20" s="74">
        <f>SUM(M4:M19)</f>
        <v>44400000</v>
      </c>
    </row>
    <row r="25" spans="8:13" x14ac:dyDescent="0.25">
      <c r="J25" s="61">
        <v>15</v>
      </c>
      <c r="K25" s="71" t="s">
        <v>353</v>
      </c>
      <c r="L25" s="66" t="s">
        <v>350</v>
      </c>
      <c r="M25" s="67">
        <v>2500000</v>
      </c>
    </row>
    <row r="26" spans="8:13" x14ac:dyDescent="0.25">
      <c r="J26" s="64">
        <v>16</v>
      </c>
      <c r="K26" s="71" t="s">
        <v>354</v>
      </c>
      <c r="L26" s="66" t="s">
        <v>350</v>
      </c>
      <c r="M26" s="67">
        <v>2000000</v>
      </c>
    </row>
    <row r="27" spans="8:13" x14ac:dyDescent="0.25">
      <c r="J27" s="61">
        <v>17</v>
      </c>
      <c r="K27" s="71" t="s">
        <v>355</v>
      </c>
      <c r="L27" s="66" t="s">
        <v>350</v>
      </c>
      <c r="M27" s="67">
        <v>2000000</v>
      </c>
    </row>
    <row r="28" spans="8:13" x14ac:dyDescent="0.25">
      <c r="J28" s="64">
        <v>18</v>
      </c>
      <c r="K28" s="71" t="s">
        <v>356</v>
      </c>
      <c r="L28" s="66" t="s">
        <v>350</v>
      </c>
      <c r="M28" s="67">
        <v>2000000</v>
      </c>
    </row>
    <row r="29" spans="8:13" x14ac:dyDescent="0.25">
      <c r="J29" s="61">
        <v>19</v>
      </c>
      <c r="K29" s="71" t="s">
        <v>357</v>
      </c>
      <c r="L29" s="66" t="s">
        <v>350</v>
      </c>
      <c r="M29" s="67">
        <v>2000000</v>
      </c>
    </row>
    <row r="30" spans="8:13" x14ac:dyDescent="0.25">
      <c r="J30" s="64">
        <v>20</v>
      </c>
      <c r="K30" s="71" t="s">
        <v>358</v>
      </c>
      <c r="L30" s="66" t="s">
        <v>350</v>
      </c>
      <c r="M30" s="67">
        <v>2000000</v>
      </c>
    </row>
    <row r="31" spans="8:13" x14ac:dyDescent="0.25">
      <c r="J31" s="61">
        <v>21</v>
      </c>
      <c r="K31" s="71" t="s">
        <v>359</v>
      </c>
      <c r="L31" s="66" t="s">
        <v>350</v>
      </c>
      <c r="M31" s="67">
        <v>2000000</v>
      </c>
    </row>
    <row r="32" spans="8:13" x14ac:dyDescent="0.25">
      <c r="J32" s="64">
        <v>22</v>
      </c>
      <c r="K32" s="71" t="s">
        <v>360</v>
      </c>
      <c r="L32" s="66"/>
      <c r="M32" s="67">
        <v>2500000</v>
      </c>
    </row>
  </sheetData>
  <mergeCells count="3">
    <mergeCell ref="J3:M3"/>
    <mergeCell ref="O3:R3"/>
    <mergeCell ref="K20:L20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BBD63-D2CE-4EF7-A2AA-B0A001AA9715}">
  <sheetPr>
    <pageSetUpPr fitToPage="1"/>
  </sheetPr>
  <dimension ref="B2:R298"/>
  <sheetViews>
    <sheetView topLeftCell="A166" zoomScaleNormal="100" zoomScalePageLayoutView="47" workbookViewId="0">
      <selection activeCell="M181" sqref="M181"/>
    </sheetView>
  </sheetViews>
  <sheetFormatPr defaultRowHeight="12.75" x14ac:dyDescent="0.2"/>
  <cols>
    <col min="1" max="1" width="9.140625" style="80"/>
    <col min="2" max="2" width="3.140625" style="80" bestFit="1" customWidth="1"/>
    <col min="3" max="3" width="16" style="80" bestFit="1" customWidth="1"/>
    <col min="4" max="4" width="19.5703125" style="80" bestFit="1" customWidth="1"/>
    <col min="5" max="5" width="13.5703125" style="80" bestFit="1" customWidth="1"/>
    <col min="6" max="6" width="10.140625" style="80" bestFit="1" customWidth="1"/>
    <col min="7" max="7" width="2.5703125" style="80" bestFit="1" customWidth="1"/>
    <col min="8" max="8" width="11.85546875" style="80" bestFit="1" customWidth="1"/>
    <col min="9" max="9" width="14.28515625" style="80" bestFit="1" customWidth="1"/>
    <col min="10" max="10" width="11.85546875" style="80" bestFit="1" customWidth="1"/>
    <col min="11" max="11" width="6.28515625" style="80" bestFit="1" customWidth="1"/>
    <col min="12" max="12" width="21.140625" style="80" customWidth="1"/>
    <col min="13" max="13" width="20.140625" style="80" bestFit="1" customWidth="1"/>
    <col min="14" max="14" width="15" style="80" bestFit="1" customWidth="1"/>
    <col min="15" max="15" width="10.28515625" style="80" bestFit="1" customWidth="1"/>
    <col min="16" max="16" width="9.28515625" style="80" bestFit="1" customWidth="1"/>
    <col min="17" max="17" width="9.140625" style="80"/>
    <col min="18" max="19" width="9.28515625" style="80" bestFit="1" customWidth="1"/>
    <col min="20" max="16384" width="9.140625" style="80"/>
  </cols>
  <sheetData>
    <row r="2" spans="2:18" ht="15" customHeight="1" x14ac:dyDescent="0.2">
      <c r="B2" s="453" t="s">
        <v>130</v>
      </c>
      <c r="C2" s="453"/>
      <c r="D2" s="453"/>
      <c r="E2" s="453"/>
      <c r="F2" s="453"/>
      <c r="G2" s="453"/>
      <c r="H2" s="453"/>
      <c r="I2" s="453"/>
      <c r="K2" s="448" t="s">
        <v>406</v>
      </c>
      <c r="L2" s="448"/>
      <c r="M2" s="448"/>
      <c r="N2" s="448"/>
      <c r="O2" s="448"/>
      <c r="P2" s="448"/>
      <c r="Q2" s="448"/>
      <c r="R2" s="448"/>
    </row>
    <row r="3" spans="2:18" x14ac:dyDescent="0.2">
      <c r="B3" s="81"/>
      <c r="C3" s="81"/>
      <c r="D3" s="81"/>
      <c r="E3" s="81"/>
      <c r="F3" s="81"/>
      <c r="G3" s="81"/>
      <c r="H3" s="81"/>
      <c r="I3" s="81"/>
    </row>
    <row r="4" spans="2:18" x14ac:dyDescent="0.2">
      <c r="B4" s="81"/>
      <c r="C4" s="81"/>
      <c r="D4" s="81"/>
      <c r="E4" s="81"/>
      <c r="F4" s="81" t="s">
        <v>56</v>
      </c>
      <c r="G4" s="82"/>
      <c r="H4" s="81" t="s">
        <v>57</v>
      </c>
      <c r="I4" s="81" t="s">
        <v>55</v>
      </c>
      <c r="O4" s="80" t="s">
        <v>56</v>
      </c>
      <c r="P4" s="88"/>
      <c r="Q4" s="80" t="s">
        <v>57</v>
      </c>
      <c r="R4" s="80" t="s">
        <v>55</v>
      </c>
    </row>
    <row r="5" spans="2:18" x14ac:dyDescent="0.2">
      <c r="B5" s="83">
        <v>1</v>
      </c>
      <c r="C5" s="83" t="s">
        <v>58</v>
      </c>
      <c r="D5" s="83" t="s">
        <v>59</v>
      </c>
      <c r="E5" s="83"/>
      <c r="F5" s="83">
        <v>950</v>
      </c>
      <c r="G5" s="193" t="s">
        <v>60</v>
      </c>
      <c r="H5" s="83">
        <v>1</v>
      </c>
      <c r="I5" s="83">
        <f>+F5*1</f>
        <v>950</v>
      </c>
      <c r="K5" s="86">
        <v>3</v>
      </c>
      <c r="L5" s="86" t="s">
        <v>61</v>
      </c>
      <c r="M5" s="86" t="s">
        <v>62</v>
      </c>
      <c r="N5" s="86" t="s">
        <v>63</v>
      </c>
      <c r="O5" s="86">
        <v>90</v>
      </c>
      <c r="P5" s="87" t="s">
        <v>60</v>
      </c>
      <c r="Q5" s="86">
        <v>1</v>
      </c>
      <c r="R5" s="86">
        <f>+O5*1</f>
        <v>90</v>
      </c>
    </row>
    <row r="6" spans="2:18" x14ac:dyDescent="0.2">
      <c r="B6" s="83">
        <v>2</v>
      </c>
      <c r="C6" s="83" t="s">
        <v>61</v>
      </c>
      <c r="D6" s="83" t="s">
        <v>259</v>
      </c>
      <c r="E6" s="83" t="s">
        <v>249</v>
      </c>
      <c r="F6" s="83">
        <v>1200</v>
      </c>
      <c r="G6" s="193" t="s">
        <v>60</v>
      </c>
      <c r="H6" s="83">
        <v>1</v>
      </c>
      <c r="I6" s="83">
        <v>800</v>
      </c>
      <c r="P6" s="88"/>
      <c r="R6" s="89">
        <f>SUM(R5:R5)</f>
        <v>90</v>
      </c>
    </row>
    <row r="7" spans="2:18" x14ac:dyDescent="0.2">
      <c r="B7" s="83">
        <v>3</v>
      </c>
      <c r="C7" s="83" t="s">
        <v>61</v>
      </c>
      <c r="D7" s="83" t="s">
        <v>62</v>
      </c>
      <c r="E7" s="83" t="s">
        <v>63</v>
      </c>
      <c r="F7" s="83">
        <v>90</v>
      </c>
      <c r="G7" s="193" t="s">
        <v>60</v>
      </c>
      <c r="H7" s="83">
        <v>1</v>
      </c>
      <c r="I7" s="83">
        <f>+F7*1</f>
        <v>90</v>
      </c>
      <c r="K7" s="86">
        <v>1</v>
      </c>
      <c r="L7" s="86" t="s">
        <v>234</v>
      </c>
      <c r="M7" s="86" t="s">
        <v>238</v>
      </c>
      <c r="N7" s="86"/>
      <c r="O7" s="86">
        <f>100000/40</f>
        <v>2500</v>
      </c>
      <c r="P7" s="87" t="s">
        <v>60</v>
      </c>
      <c r="Q7" s="86">
        <v>0.12</v>
      </c>
      <c r="R7" s="86">
        <f>+Q7*O7</f>
        <v>300</v>
      </c>
    </row>
    <row r="8" spans="2:18" x14ac:dyDescent="0.2">
      <c r="B8" s="83">
        <v>5</v>
      </c>
      <c r="C8" s="83" t="s">
        <v>64</v>
      </c>
      <c r="D8" s="83" t="s">
        <v>65</v>
      </c>
      <c r="E8" s="83"/>
      <c r="F8" s="83">
        <v>25</v>
      </c>
      <c r="G8" s="193" t="s">
        <v>60</v>
      </c>
      <c r="H8" s="83">
        <v>1</v>
      </c>
      <c r="I8" s="83">
        <f>+F8*1</f>
        <v>25</v>
      </c>
      <c r="K8" s="86">
        <v>2</v>
      </c>
      <c r="L8" s="86" t="s">
        <v>16</v>
      </c>
      <c r="M8" s="86" t="s">
        <v>262</v>
      </c>
      <c r="N8" s="86"/>
      <c r="O8" s="248">
        <f>90000/38</f>
        <v>2368.4210526315787</v>
      </c>
      <c r="P8" s="87" t="s">
        <v>60</v>
      </c>
      <c r="Q8" s="86">
        <v>0.09</v>
      </c>
      <c r="R8" s="86">
        <f>+Q8*O8</f>
        <v>213.15789473684208</v>
      </c>
    </row>
    <row r="9" spans="2:18" x14ac:dyDescent="0.2">
      <c r="B9" s="81"/>
      <c r="C9" s="81"/>
      <c r="D9" s="81"/>
      <c r="E9" s="81"/>
      <c r="F9" s="81"/>
      <c r="G9" s="82"/>
      <c r="H9" s="81"/>
      <c r="I9" s="194">
        <f>SUM(I5:I8)</f>
        <v>1865</v>
      </c>
      <c r="K9" s="86">
        <v>3</v>
      </c>
      <c r="L9" s="86" t="s">
        <v>177</v>
      </c>
      <c r="M9" s="86"/>
      <c r="N9" s="86"/>
      <c r="O9" s="86">
        <v>10</v>
      </c>
      <c r="P9" s="87" t="s">
        <v>69</v>
      </c>
      <c r="Q9" s="86">
        <v>1</v>
      </c>
      <c r="R9" s="86">
        <f>+Q9*O9</f>
        <v>10</v>
      </c>
    </row>
    <row r="10" spans="2:18" x14ac:dyDescent="0.2">
      <c r="B10" s="83">
        <v>1</v>
      </c>
      <c r="C10" s="83" t="s">
        <v>250</v>
      </c>
      <c r="D10" s="83"/>
      <c r="E10" s="83"/>
      <c r="F10" s="83">
        <v>3500</v>
      </c>
      <c r="G10" s="193" t="s">
        <v>60</v>
      </c>
      <c r="H10" s="83">
        <v>1</v>
      </c>
      <c r="I10" s="83">
        <f>+H10*F10</f>
        <v>3500</v>
      </c>
      <c r="P10" s="88"/>
      <c r="R10" s="256">
        <f>SUM(R7:R9)</f>
        <v>523.15789473684208</v>
      </c>
    </row>
    <row r="11" spans="2:18" x14ac:dyDescent="0.2">
      <c r="B11" s="83">
        <v>2</v>
      </c>
      <c r="C11" s="83" t="s">
        <v>251</v>
      </c>
      <c r="D11" s="83"/>
      <c r="E11" s="83"/>
      <c r="F11" s="83">
        <v>750</v>
      </c>
      <c r="G11" s="193" t="s">
        <v>60</v>
      </c>
      <c r="H11" s="83">
        <v>2</v>
      </c>
      <c r="I11" s="83">
        <f t="shared" ref="I11:I18" si="0">+H11*F11</f>
        <v>1500</v>
      </c>
      <c r="P11" s="88"/>
    </row>
    <row r="12" spans="2:18" x14ac:dyDescent="0.2">
      <c r="B12" s="83">
        <v>3</v>
      </c>
      <c r="C12" s="83" t="s">
        <v>252</v>
      </c>
      <c r="D12" s="83"/>
      <c r="E12" s="83"/>
      <c r="F12" s="83">
        <v>7000</v>
      </c>
      <c r="G12" s="193" t="s">
        <v>69</v>
      </c>
      <c r="H12" s="83">
        <v>0.13</v>
      </c>
      <c r="I12" s="83">
        <f t="shared" si="0"/>
        <v>910</v>
      </c>
      <c r="K12" s="96"/>
      <c r="L12" s="86" t="s">
        <v>263</v>
      </c>
      <c r="M12" s="90">
        <v>100000</v>
      </c>
      <c r="N12" s="90"/>
      <c r="O12" s="96"/>
      <c r="P12" s="257"/>
      <c r="Q12" s="96"/>
      <c r="R12" s="96"/>
    </row>
    <row r="13" spans="2:18" x14ac:dyDescent="0.2">
      <c r="B13" s="83">
        <v>4</v>
      </c>
      <c r="C13" s="83" t="s">
        <v>15</v>
      </c>
      <c r="D13" s="83"/>
      <c r="E13" s="83"/>
      <c r="F13" s="83">
        <f>90000/40</f>
        <v>2250</v>
      </c>
      <c r="G13" s="193" t="s">
        <v>69</v>
      </c>
      <c r="H13" s="83">
        <v>0.2</v>
      </c>
      <c r="I13" s="83">
        <f t="shared" si="0"/>
        <v>450</v>
      </c>
      <c r="K13" s="96"/>
      <c r="L13" s="86" t="s">
        <v>264</v>
      </c>
      <c r="M13" s="90">
        <v>200000</v>
      </c>
      <c r="N13" s="90"/>
      <c r="O13" s="96"/>
      <c r="P13" s="257"/>
      <c r="Q13" s="96"/>
      <c r="R13" s="96"/>
    </row>
    <row r="14" spans="2:18" x14ac:dyDescent="0.2">
      <c r="B14" s="83">
        <v>5</v>
      </c>
      <c r="C14" s="83" t="s">
        <v>16</v>
      </c>
      <c r="D14" s="83"/>
      <c r="E14" s="83"/>
      <c r="F14" s="83">
        <f>70000/40</f>
        <v>1750</v>
      </c>
      <c r="G14" s="193" t="s">
        <v>69</v>
      </c>
      <c r="H14" s="83">
        <v>0.15</v>
      </c>
      <c r="I14" s="83">
        <f t="shared" si="0"/>
        <v>262.5</v>
      </c>
      <c r="K14" s="96"/>
      <c r="L14" s="86" t="s">
        <v>265</v>
      </c>
      <c r="M14" s="90">
        <v>100000</v>
      </c>
      <c r="N14" s="96"/>
      <c r="O14" s="96"/>
      <c r="P14" s="257"/>
      <c r="Q14" s="96"/>
      <c r="R14" s="96"/>
    </row>
    <row r="15" spans="2:18" x14ac:dyDescent="0.2">
      <c r="B15" s="83">
        <v>6</v>
      </c>
      <c r="C15" s="83" t="s">
        <v>12</v>
      </c>
      <c r="D15" s="83"/>
      <c r="E15" s="83"/>
      <c r="F15" s="83">
        <v>2000</v>
      </c>
      <c r="G15" s="193" t="s">
        <v>69</v>
      </c>
      <c r="H15" s="83">
        <v>0.03</v>
      </c>
      <c r="I15" s="83">
        <f t="shared" si="0"/>
        <v>60</v>
      </c>
      <c r="K15" s="96"/>
      <c r="L15" s="86" t="s">
        <v>85</v>
      </c>
      <c r="M15" s="90">
        <v>150000</v>
      </c>
      <c r="N15" s="96"/>
      <c r="O15" s="96"/>
      <c r="P15" s="257"/>
      <c r="Q15" s="96"/>
      <c r="R15" s="96"/>
    </row>
    <row r="16" spans="2:18" x14ac:dyDescent="0.2">
      <c r="B16" s="83">
        <v>7</v>
      </c>
      <c r="C16" s="83" t="s">
        <v>70</v>
      </c>
      <c r="D16" s="83"/>
      <c r="E16" s="83"/>
      <c r="F16" s="83">
        <v>60000</v>
      </c>
      <c r="G16" s="193" t="s">
        <v>69</v>
      </c>
      <c r="H16" s="83">
        <v>3.0000000000000001E-3</v>
      </c>
      <c r="I16" s="83">
        <f t="shared" si="0"/>
        <v>180</v>
      </c>
      <c r="M16" s="227">
        <f>SUM(M12:M15)</f>
        <v>550000</v>
      </c>
      <c r="P16" s="88"/>
      <c r="R16" s="258">
        <f>+M16/2000</f>
        <v>275</v>
      </c>
    </row>
    <row r="17" spans="2:18" x14ac:dyDescent="0.2">
      <c r="B17" s="83">
        <v>8</v>
      </c>
      <c r="C17" s="83" t="s">
        <v>71</v>
      </c>
      <c r="D17" s="83"/>
      <c r="E17" s="83"/>
      <c r="F17" s="83">
        <v>60000</v>
      </c>
      <c r="G17" s="193" t="s">
        <v>69</v>
      </c>
      <c r="H17" s="83">
        <v>3.0000000000000001E-3</v>
      </c>
      <c r="I17" s="83">
        <f t="shared" si="0"/>
        <v>180</v>
      </c>
      <c r="P17" s="88"/>
    </row>
    <row r="18" spans="2:18" x14ac:dyDescent="0.2">
      <c r="B18" s="83">
        <v>9</v>
      </c>
      <c r="C18" s="83" t="s">
        <v>17</v>
      </c>
      <c r="D18" s="83"/>
      <c r="E18" s="83"/>
      <c r="F18" s="83">
        <v>2</v>
      </c>
      <c r="G18" s="193" t="s">
        <v>72</v>
      </c>
      <c r="H18" s="83">
        <v>5</v>
      </c>
      <c r="I18" s="83">
        <f t="shared" si="0"/>
        <v>10</v>
      </c>
      <c r="K18" s="86"/>
      <c r="L18" s="86" t="s">
        <v>86</v>
      </c>
      <c r="M18" s="213">
        <v>100000000</v>
      </c>
      <c r="N18" s="92">
        <f>+M18/26/2</f>
        <v>1923076.923076923</v>
      </c>
      <c r="O18" s="86"/>
      <c r="P18" s="87"/>
      <c r="Q18" s="86"/>
      <c r="R18" s="93">
        <f>+N18/2000</f>
        <v>961.53846153846155</v>
      </c>
    </row>
    <row r="19" spans="2:18" x14ac:dyDescent="0.2">
      <c r="B19" s="81"/>
      <c r="C19" s="81"/>
      <c r="D19" s="81"/>
      <c r="E19" s="81"/>
      <c r="F19" s="81"/>
      <c r="G19" s="82"/>
      <c r="H19" s="81"/>
      <c r="I19" s="195">
        <f>SUM(I10:I18)</f>
        <v>7052.5</v>
      </c>
      <c r="P19" s="88"/>
    </row>
    <row r="20" spans="2:18" x14ac:dyDescent="0.2">
      <c r="B20" s="83">
        <v>1</v>
      </c>
      <c r="C20" s="83" t="s">
        <v>73</v>
      </c>
      <c r="D20" s="83" t="s">
        <v>74</v>
      </c>
      <c r="E20" s="83" t="s">
        <v>75</v>
      </c>
      <c r="F20" s="83">
        <v>100</v>
      </c>
      <c r="G20" s="193" t="s">
        <v>60</v>
      </c>
      <c r="H20" s="83">
        <v>2</v>
      </c>
      <c r="I20" s="83">
        <f t="shared" ref="I20:I25" si="1">+H20*F20</f>
        <v>200</v>
      </c>
      <c r="P20" s="88"/>
      <c r="R20" s="259">
        <f>+R6+R10+R16+R18</f>
        <v>1849.6963562753035</v>
      </c>
    </row>
    <row r="21" spans="2:18" x14ac:dyDescent="0.2">
      <c r="B21" s="83">
        <v>2</v>
      </c>
      <c r="C21" s="83" t="s">
        <v>76</v>
      </c>
      <c r="D21" s="83" t="s">
        <v>77</v>
      </c>
      <c r="E21" s="83" t="s">
        <v>78</v>
      </c>
      <c r="F21" s="83">
        <v>90</v>
      </c>
      <c r="G21" s="193" t="s">
        <v>60</v>
      </c>
      <c r="H21" s="83">
        <v>2</v>
      </c>
      <c r="I21" s="83">
        <f t="shared" si="1"/>
        <v>180</v>
      </c>
    </row>
    <row r="22" spans="2:18" x14ac:dyDescent="0.2">
      <c r="B22" s="83">
        <v>3</v>
      </c>
      <c r="C22" s="83" t="s">
        <v>76</v>
      </c>
      <c r="D22" s="83" t="s">
        <v>79</v>
      </c>
      <c r="E22" s="83"/>
      <c r="F22" s="83">
        <f>2500/100</f>
        <v>25</v>
      </c>
      <c r="G22" s="193" t="s">
        <v>60</v>
      </c>
      <c r="H22" s="83">
        <v>2</v>
      </c>
      <c r="I22" s="83">
        <f t="shared" si="1"/>
        <v>50</v>
      </c>
    </row>
    <row r="23" spans="2:18" x14ac:dyDescent="0.2">
      <c r="B23" s="83">
        <v>4</v>
      </c>
      <c r="C23" s="83" t="s">
        <v>80</v>
      </c>
      <c r="D23" s="83" t="s">
        <v>81</v>
      </c>
      <c r="E23" s="83" t="s">
        <v>78</v>
      </c>
      <c r="F23" s="83">
        <f>5000/1000</f>
        <v>5</v>
      </c>
      <c r="G23" s="193" t="s">
        <v>60</v>
      </c>
      <c r="H23" s="83">
        <v>2</v>
      </c>
      <c r="I23" s="83">
        <f t="shared" si="1"/>
        <v>10</v>
      </c>
    </row>
    <row r="24" spans="2:18" x14ac:dyDescent="0.2">
      <c r="B24" s="83">
        <v>5</v>
      </c>
      <c r="C24" s="83" t="s">
        <v>26</v>
      </c>
      <c r="D24" s="83"/>
      <c r="E24" s="83"/>
      <c r="F24" s="83">
        <v>100</v>
      </c>
      <c r="G24" s="193" t="s">
        <v>60</v>
      </c>
      <c r="H24" s="83">
        <v>1</v>
      </c>
      <c r="I24" s="83">
        <f t="shared" si="1"/>
        <v>100</v>
      </c>
    </row>
    <row r="25" spans="2:18" x14ac:dyDescent="0.2">
      <c r="B25" s="83">
        <v>6</v>
      </c>
      <c r="C25" s="83" t="s">
        <v>26</v>
      </c>
      <c r="D25" s="83"/>
      <c r="E25" s="83"/>
      <c r="F25" s="83">
        <f>2000/100</f>
        <v>20</v>
      </c>
      <c r="G25" s="193" t="s">
        <v>60</v>
      </c>
      <c r="H25" s="83">
        <v>2</v>
      </c>
      <c r="I25" s="83">
        <f t="shared" si="1"/>
        <v>40</v>
      </c>
    </row>
    <row r="26" spans="2:18" x14ac:dyDescent="0.2">
      <c r="B26" s="81"/>
      <c r="C26" s="81"/>
      <c r="D26" s="81"/>
      <c r="E26" s="81"/>
      <c r="F26" s="81"/>
      <c r="G26" s="82"/>
      <c r="H26" s="81"/>
      <c r="I26" s="194">
        <f>SUM(I20:I25)</f>
        <v>580</v>
      </c>
    </row>
    <row r="27" spans="2:18" x14ac:dyDescent="0.2">
      <c r="B27" s="81"/>
      <c r="C27" s="81"/>
      <c r="D27" s="81"/>
      <c r="E27" s="81"/>
      <c r="F27" s="81"/>
      <c r="G27" s="82"/>
      <c r="H27" s="81"/>
      <c r="I27" s="81"/>
      <c r="K27" s="80">
        <f>+I9+I26</f>
        <v>2445</v>
      </c>
    </row>
    <row r="28" spans="2:18" x14ac:dyDescent="0.2">
      <c r="B28" s="196"/>
      <c r="C28" s="83" t="s">
        <v>253</v>
      </c>
      <c r="D28" s="197">
        <v>2</v>
      </c>
      <c r="E28" s="197">
        <v>200000</v>
      </c>
      <c r="F28" s="197"/>
      <c r="G28" s="198"/>
      <c r="H28" s="197"/>
      <c r="I28" s="197">
        <v>1666</v>
      </c>
    </row>
    <row r="29" spans="2:18" x14ac:dyDescent="0.2">
      <c r="B29" s="196"/>
      <c r="C29" s="83" t="s">
        <v>254</v>
      </c>
      <c r="D29" s="197">
        <v>1</v>
      </c>
      <c r="E29" s="197">
        <v>100000</v>
      </c>
      <c r="F29" s="197"/>
      <c r="G29" s="198"/>
      <c r="H29" s="197"/>
      <c r="I29" s="197">
        <f>+(E29+F29)/2</f>
        <v>50000</v>
      </c>
    </row>
    <row r="30" spans="2:18" x14ac:dyDescent="0.2">
      <c r="B30" s="196"/>
      <c r="C30" s="83" t="s">
        <v>84</v>
      </c>
      <c r="D30" s="197">
        <v>2</v>
      </c>
      <c r="E30" s="197">
        <v>200000</v>
      </c>
      <c r="F30" s="197"/>
      <c r="G30" s="198"/>
      <c r="H30" s="197"/>
      <c r="I30" s="197">
        <v>300</v>
      </c>
      <c r="L30" s="80">
        <f>+I7+I13+I14+I30+I31</f>
        <v>1642.5</v>
      </c>
    </row>
    <row r="31" spans="2:18" x14ac:dyDescent="0.2">
      <c r="B31" s="196"/>
      <c r="C31" s="83" t="s">
        <v>85</v>
      </c>
      <c r="D31" s="197">
        <v>1</v>
      </c>
      <c r="E31" s="197">
        <v>100000</v>
      </c>
      <c r="F31" s="197"/>
      <c r="G31" s="198"/>
      <c r="H31" s="197"/>
      <c r="I31" s="197">
        <v>540</v>
      </c>
    </row>
    <row r="32" spans="2:18" x14ac:dyDescent="0.2">
      <c r="B32" s="81"/>
      <c r="C32" s="81"/>
      <c r="D32" s="199"/>
      <c r="E32" s="199">
        <f>SUM(E28:E31)</f>
        <v>600000</v>
      </c>
      <c r="F32" s="199"/>
      <c r="G32" s="200"/>
      <c r="H32" s="199"/>
      <c r="I32" s="201">
        <f>+E32/480</f>
        <v>1250</v>
      </c>
    </row>
    <row r="33" spans="2:12" x14ac:dyDescent="0.2">
      <c r="B33" s="81"/>
      <c r="C33" s="81"/>
      <c r="D33" s="81"/>
      <c r="E33" s="81"/>
      <c r="F33" s="81"/>
      <c r="G33" s="82"/>
      <c r="H33" s="81"/>
      <c r="I33" s="81"/>
    </row>
    <row r="34" spans="2:12" x14ac:dyDescent="0.2">
      <c r="B34" s="83"/>
      <c r="C34" s="83" t="s">
        <v>86</v>
      </c>
      <c r="D34" s="83">
        <v>70000000</v>
      </c>
      <c r="E34" s="202">
        <f>+D34/26</f>
        <v>2692307.6923076925</v>
      </c>
      <c r="F34" s="83"/>
      <c r="G34" s="193"/>
      <c r="H34" s="83"/>
      <c r="I34" s="203">
        <f>+E34/480/2</f>
        <v>2804.4871794871797</v>
      </c>
    </row>
    <row r="35" spans="2:12" x14ac:dyDescent="0.2">
      <c r="B35" s="81"/>
      <c r="C35" s="81"/>
      <c r="D35" s="81"/>
      <c r="E35" s="81"/>
      <c r="F35" s="81"/>
      <c r="G35" s="82"/>
      <c r="H35" s="81"/>
      <c r="I35" s="81"/>
    </row>
    <row r="36" spans="2:12" x14ac:dyDescent="0.2">
      <c r="B36" s="81"/>
      <c r="C36" s="81"/>
      <c r="D36" s="81"/>
      <c r="E36" s="81"/>
      <c r="F36" s="81"/>
      <c r="G36" s="82"/>
      <c r="H36" s="194" t="s">
        <v>88</v>
      </c>
      <c r="I36" s="204">
        <f>+I34+I32+I26+I19+I9</f>
        <v>13551.98717948718</v>
      </c>
      <c r="J36" s="80" t="s">
        <v>129</v>
      </c>
      <c r="K36" s="84"/>
    </row>
    <row r="37" spans="2:12" x14ac:dyDescent="0.2">
      <c r="B37" s="81"/>
      <c r="C37" s="81"/>
      <c r="D37" s="81"/>
      <c r="E37" s="81"/>
      <c r="F37" s="81"/>
      <c r="G37" s="82"/>
      <c r="H37" s="85"/>
      <c r="I37" s="85"/>
    </row>
    <row r="38" spans="2:12" x14ac:dyDescent="0.2">
      <c r="B38" s="81"/>
      <c r="C38" s="81"/>
      <c r="D38" s="81"/>
      <c r="E38" s="81"/>
      <c r="F38" s="81"/>
      <c r="G38" s="82"/>
      <c r="H38" s="205" t="s">
        <v>91</v>
      </c>
      <c r="I38" s="206">
        <f>+I36*0.3</f>
        <v>4065.5961538461538</v>
      </c>
    </row>
    <row r="39" spans="2:12" x14ac:dyDescent="0.2">
      <c r="B39" s="81"/>
      <c r="C39" s="81"/>
      <c r="D39" s="81"/>
      <c r="E39" s="81"/>
      <c r="F39" s="81"/>
      <c r="G39" s="82"/>
      <c r="H39" s="205" t="s">
        <v>93</v>
      </c>
      <c r="I39" s="204">
        <f>+I36+I38</f>
        <v>17617.583333333332</v>
      </c>
    </row>
    <row r="40" spans="2:12" x14ac:dyDescent="0.2">
      <c r="B40" s="81"/>
      <c r="C40" s="81"/>
      <c r="D40" s="81"/>
      <c r="E40" s="81"/>
      <c r="F40" s="81"/>
      <c r="G40" s="82"/>
      <c r="H40" s="85" t="s">
        <v>95</v>
      </c>
      <c r="I40" s="207">
        <f>+I39*0.1</f>
        <v>1761.7583333333332</v>
      </c>
      <c r="K40" s="80">
        <f>+K41-L41</f>
        <v>18900</v>
      </c>
    </row>
    <row r="41" spans="2:12" x14ac:dyDescent="0.2">
      <c r="B41" s="81"/>
      <c r="C41" s="81"/>
      <c r="D41" s="81"/>
      <c r="E41" s="81"/>
      <c r="F41" s="81"/>
      <c r="G41" s="81"/>
      <c r="H41" s="194" t="s">
        <v>96</v>
      </c>
      <c r="I41" s="208">
        <f>+I39+I40</f>
        <v>19379.341666666667</v>
      </c>
      <c r="K41" s="80">
        <v>21000</v>
      </c>
      <c r="L41" s="80">
        <v>2100</v>
      </c>
    </row>
    <row r="42" spans="2:12" x14ac:dyDescent="0.2">
      <c r="B42" s="81"/>
      <c r="C42" s="81"/>
      <c r="D42" s="81"/>
      <c r="E42" s="81"/>
      <c r="F42" s="81"/>
      <c r="G42" s="81"/>
      <c r="H42" s="81"/>
      <c r="I42" s="199">
        <f>+I41*0.32</f>
        <v>6201.3893333333335</v>
      </c>
    </row>
    <row r="43" spans="2:12" x14ac:dyDescent="0.2">
      <c r="B43" s="81"/>
      <c r="C43" s="81"/>
      <c r="D43" s="81"/>
      <c r="E43" s="81"/>
      <c r="F43" s="81"/>
      <c r="G43" s="81"/>
      <c r="H43" s="85"/>
      <c r="I43" s="209">
        <f>+I41+I42</f>
        <v>25580.731</v>
      </c>
    </row>
    <row r="44" spans="2:12" x14ac:dyDescent="0.2">
      <c r="B44" s="81"/>
      <c r="C44" s="81"/>
      <c r="D44" s="81"/>
      <c r="E44" s="81"/>
      <c r="F44" s="81"/>
      <c r="G44" s="81"/>
      <c r="H44" s="81"/>
      <c r="I44" s="81"/>
    </row>
    <row r="47" spans="2:12" x14ac:dyDescent="0.2">
      <c r="B47" s="448" t="s">
        <v>99</v>
      </c>
      <c r="C47" s="448"/>
      <c r="D47" s="448"/>
      <c r="E47" s="448"/>
      <c r="F47" s="448"/>
      <c r="G47" s="448"/>
      <c r="H47" s="448"/>
      <c r="I47" s="448"/>
    </row>
    <row r="48" spans="2:12" x14ac:dyDescent="0.2">
      <c r="G48" s="88"/>
    </row>
    <row r="49" spans="2:9" x14ac:dyDescent="0.2">
      <c r="F49" s="80" t="s">
        <v>56</v>
      </c>
      <c r="G49" s="88"/>
      <c r="H49" s="80" t="s">
        <v>57</v>
      </c>
      <c r="I49" s="80" t="s">
        <v>55</v>
      </c>
    </row>
    <row r="50" spans="2:9" x14ac:dyDescent="0.2">
      <c r="B50" s="86">
        <v>1</v>
      </c>
      <c r="C50" s="86" t="s">
        <v>58</v>
      </c>
      <c r="D50" s="86" t="s">
        <v>59</v>
      </c>
      <c r="E50" s="86"/>
      <c r="F50" s="86">
        <v>650</v>
      </c>
      <c r="G50" s="87" t="s">
        <v>60</v>
      </c>
      <c r="H50" s="86">
        <v>1</v>
      </c>
      <c r="I50" s="86">
        <v>500</v>
      </c>
    </row>
    <row r="51" spans="2:9" x14ac:dyDescent="0.2">
      <c r="B51" s="86">
        <v>2</v>
      </c>
      <c r="C51" s="86" t="s">
        <v>61</v>
      </c>
      <c r="D51" s="86" t="s">
        <v>100</v>
      </c>
      <c r="E51" s="86" t="s">
        <v>97</v>
      </c>
      <c r="F51" s="86">
        <v>1200</v>
      </c>
      <c r="G51" s="87" t="s">
        <v>60</v>
      </c>
      <c r="H51" s="86">
        <v>1</v>
      </c>
      <c r="I51" s="86">
        <v>1000</v>
      </c>
    </row>
    <row r="52" spans="2:9" x14ac:dyDescent="0.2">
      <c r="B52" s="86">
        <v>3</v>
      </c>
      <c r="C52" s="86" t="s">
        <v>61</v>
      </c>
      <c r="D52" s="86" t="s">
        <v>62</v>
      </c>
      <c r="E52" s="86" t="s">
        <v>63</v>
      </c>
      <c r="F52" s="86">
        <v>90</v>
      </c>
      <c r="G52" s="87" t="s">
        <v>60</v>
      </c>
      <c r="H52" s="86">
        <v>1</v>
      </c>
      <c r="I52" s="86">
        <f>+F52*1</f>
        <v>90</v>
      </c>
    </row>
    <row r="53" spans="2:9" x14ac:dyDescent="0.2">
      <c r="B53" s="86">
        <v>5</v>
      </c>
      <c r="C53" s="86" t="s">
        <v>64</v>
      </c>
      <c r="D53" s="86" t="s">
        <v>65</v>
      </c>
      <c r="E53" s="86"/>
      <c r="F53" s="86">
        <v>25</v>
      </c>
      <c r="G53" s="87" t="s">
        <v>60</v>
      </c>
      <c r="H53" s="86">
        <v>1</v>
      </c>
      <c r="I53" s="86">
        <f>+F53*1</f>
        <v>25</v>
      </c>
    </row>
    <row r="54" spans="2:9" x14ac:dyDescent="0.2">
      <c r="B54" s="210"/>
      <c r="C54" s="210"/>
      <c r="D54" s="210"/>
      <c r="E54" s="210"/>
      <c r="F54" s="210"/>
      <c r="G54" s="211"/>
      <c r="H54" s="210"/>
      <c r="I54" s="89">
        <f>+I50+I51+I52+I53</f>
        <v>1615</v>
      </c>
    </row>
    <row r="55" spans="2:9" x14ac:dyDescent="0.2">
      <c r="G55" s="88"/>
    </row>
    <row r="56" spans="2:9" x14ac:dyDescent="0.2">
      <c r="B56" s="86">
        <v>1</v>
      </c>
      <c r="C56" s="86" t="s">
        <v>101</v>
      </c>
      <c r="D56" s="86" t="s">
        <v>102</v>
      </c>
      <c r="E56" s="86">
        <v>25000</v>
      </c>
      <c r="F56" s="86">
        <f>+E56/4</f>
        <v>6250</v>
      </c>
      <c r="G56" s="87" t="s">
        <v>60</v>
      </c>
      <c r="H56" s="86">
        <f>0.16</f>
        <v>0.16</v>
      </c>
      <c r="I56" s="86">
        <f t="shared" ref="I56:I63" si="2">+H56*F56</f>
        <v>1000</v>
      </c>
    </row>
    <row r="57" spans="2:9" x14ac:dyDescent="0.2">
      <c r="B57" s="86">
        <v>2</v>
      </c>
      <c r="C57" s="86" t="s">
        <v>103</v>
      </c>
      <c r="D57" s="86"/>
      <c r="E57" s="86">
        <v>13000</v>
      </c>
      <c r="F57" s="86">
        <v>13000</v>
      </c>
      <c r="G57" s="87" t="s">
        <v>60</v>
      </c>
      <c r="H57" s="86">
        <f>0.32*2</f>
        <v>0.64</v>
      </c>
      <c r="I57" s="86">
        <f>+H57*F57</f>
        <v>8320</v>
      </c>
    </row>
    <row r="58" spans="2:9" x14ac:dyDescent="0.2">
      <c r="B58" s="86">
        <v>4</v>
      </c>
      <c r="C58" s="86" t="s">
        <v>15</v>
      </c>
      <c r="D58" s="86"/>
      <c r="E58" s="86"/>
      <c r="F58" s="86">
        <f>90000/40</f>
        <v>2250</v>
      </c>
      <c r="G58" s="87" t="s">
        <v>69</v>
      </c>
      <c r="H58" s="86">
        <v>0.2</v>
      </c>
      <c r="I58" s="86">
        <f t="shared" si="2"/>
        <v>450</v>
      </c>
    </row>
    <row r="59" spans="2:9" x14ac:dyDescent="0.2">
      <c r="B59" s="86">
        <v>5</v>
      </c>
      <c r="C59" s="86" t="s">
        <v>16</v>
      </c>
      <c r="D59" s="86"/>
      <c r="E59" s="86"/>
      <c r="F59" s="86">
        <f>70000/40</f>
        <v>1750</v>
      </c>
      <c r="G59" s="87" t="s">
        <v>69</v>
      </c>
      <c r="H59" s="86">
        <v>0.15</v>
      </c>
      <c r="I59" s="86">
        <f t="shared" si="2"/>
        <v>262.5</v>
      </c>
    </row>
    <row r="60" spans="2:9" x14ac:dyDescent="0.2">
      <c r="B60" s="86">
        <v>6</v>
      </c>
      <c r="C60" s="86" t="s">
        <v>12</v>
      </c>
      <c r="D60" s="86"/>
      <c r="E60" s="86"/>
      <c r="F60" s="86">
        <v>2000</v>
      </c>
      <c r="G60" s="87" t="s">
        <v>69</v>
      </c>
      <c r="H60" s="86">
        <v>0.03</v>
      </c>
      <c r="I60" s="86">
        <f t="shared" si="2"/>
        <v>60</v>
      </c>
    </row>
    <row r="61" spans="2:9" x14ac:dyDescent="0.2">
      <c r="B61" s="86">
        <v>7</v>
      </c>
      <c r="C61" s="86" t="s">
        <v>70</v>
      </c>
      <c r="D61" s="86"/>
      <c r="E61" s="86"/>
      <c r="F61" s="86">
        <v>60000</v>
      </c>
      <c r="G61" s="87" t="s">
        <v>69</v>
      </c>
      <c r="H61" s="86">
        <v>3.0000000000000001E-3</v>
      </c>
      <c r="I61" s="86">
        <f t="shared" si="2"/>
        <v>180</v>
      </c>
    </row>
    <row r="62" spans="2:9" x14ac:dyDescent="0.2">
      <c r="B62" s="86">
        <v>8</v>
      </c>
      <c r="C62" s="86" t="s">
        <v>71</v>
      </c>
      <c r="D62" s="86"/>
      <c r="E62" s="86"/>
      <c r="F62" s="86">
        <v>60000</v>
      </c>
      <c r="G62" s="87" t="s">
        <v>69</v>
      </c>
      <c r="H62" s="86">
        <v>3.0000000000000001E-3</v>
      </c>
      <c r="I62" s="86">
        <f t="shared" si="2"/>
        <v>180</v>
      </c>
    </row>
    <row r="63" spans="2:9" x14ac:dyDescent="0.2">
      <c r="B63" s="86">
        <v>9</v>
      </c>
      <c r="C63" s="86" t="s">
        <v>17</v>
      </c>
      <c r="D63" s="86"/>
      <c r="E63" s="86"/>
      <c r="F63" s="86">
        <v>2</v>
      </c>
      <c r="G63" s="87" t="s">
        <v>72</v>
      </c>
      <c r="H63" s="86">
        <v>5</v>
      </c>
      <c r="I63" s="86">
        <f t="shared" si="2"/>
        <v>10</v>
      </c>
    </row>
    <row r="64" spans="2:9" x14ac:dyDescent="0.2">
      <c r="B64" s="210"/>
      <c r="C64" s="210"/>
      <c r="D64" s="210"/>
      <c r="E64" s="86"/>
      <c r="F64" s="210"/>
      <c r="G64" s="211"/>
      <c r="H64" s="210"/>
      <c r="I64" s="212">
        <f>+I56+I57+I58+I59+I60+I61+I62+I63</f>
        <v>10462.5</v>
      </c>
    </row>
    <row r="65" spans="2:9" x14ac:dyDescent="0.2">
      <c r="G65" s="88"/>
    </row>
    <row r="66" spans="2:9" x14ac:dyDescent="0.2">
      <c r="B66" s="86">
        <v>1</v>
      </c>
      <c r="C66" s="86" t="s">
        <v>73</v>
      </c>
      <c r="D66" s="86" t="s">
        <v>74</v>
      </c>
      <c r="E66" s="86" t="s">
        <v>75</v>
      </c>
      <c r="F66" s="86">
        <v>100</v>
      </c>
      <c r="G66" s="87" t="s">
        <v>60</v>
      </c>
      <c r="H66" s="86">
        <v>2</v>
      </c>
      <c r="I66" s="86">
        <f t="shared" ref="I66:I71" si="3">+H66*F66</f>
        <v>200</v>
      </c>
    </row>
    <row r="67" spans="2:9" x14ac:dyDescent="0.2">
      <c r="B67" s="86">
        <v>2</v>
      </c>
      <c r="C67" s="86" t="s">
        <v>76</v>
      </c>
      <c r="D67" s="86" t="s">
        <v>77</v>
      </c>
      <c r="E67" s="86" t="s">
        <v>78</v>
      </c>
      <c r="F67" s="86">
        <v>90</v>
      </c>
      <c r="G67" s="87" t="s">
        <v>60</v>
      </c>
      <c r="H67" s="86">
        <v>2</v>
      </c>
      <c r="I67" s="86">
        <f t="shared" si="3"/>
        <v>180</v>
      </c>
    </row>
    <row r="68" spans="2:9" x14ac:dyDescent="0.2">
      <c r="B68" s="86">
        <v>3</v>
      </c>
      <c r="C68" s="86" t="s">
        <v>76</v>
      </c>
      <c r="D68" s="86" t="s">
        <v>79</v>
      </c>
      <c r="E68" s="86"/>
      <c r="F68" s="86">
        <f>2500/100</f>
        <v>25</v>
      </c>
      <c r="G68" s="87" t="s">
        <v>60</v>
      </c>
      <c r="H68" s="86">
        <v>2</v>
      </c>
      <c r="I68" s="86">
        <f t="shared" si="3"/>
        <v>50</v>
      </c>
    </row>
    <row r="69" spans="2:9" x14ac:dyDescent="0.2">
      <c r="B69" s="86">
        <v>4</v>
      </c>
      <c r="C69" s="86" t="s">
        <v>80</v>
      </c>
      <c r="D69" s="86" t="s">
        <v>81</v>
      </c>
      <c r="E69" s="86" t="s">
        <v>78</v>
      </c>
      <c r="F69" s="86">
        <f>5000/1000</f>
        <v>5</v>
      </c>
      <c r="G69" s="87" t="s">
        <v>60</v>
      </c>
      <c r="H69" s="86">
        <v>2</v>
      </c>
      <c r="I69" s="86">
        <f t="shared" si="3"/>
        <v>10</v>
      </c>
    </row>
    <row r="70" spans="2:9" x14ac:dyDescent="0.2">
      <c r="B70" s="86">
        <v>5</v>
      </c>
      <c r="C70" s="86" t="s">
        <v>26</v>
      </c>
      <c r="D70" s="86"/>
      <c r="E70" s="86"/>
      <c r="F70" s="86">
        <v>100</v>
      </c>
      <c r="G70" s="87" t="s">
        <v>60</v>
      </c>
      <c r="H70" s="86">
        <v>1</v>
      </c>
      <c r="I70" s="86">
        <f t="shared" si="3"/>
        <v>100</v>
      </c>
    </row>
    <row r="71" spans="2:9" x14ac:dyDescent="0.2">
      <c r="B71" s="86">
        <v>6</v>
      </c>
      <c r="C71" s="86" t="s">
        <v>26</v>
      </c>
      <c r="D71" s="86"/>
      <c r="E71" s="86"/>
      <c r="F71" s="86">
        <f>2000/100</f>
        <v>20</v>
      </c>
      <c r="G71" s="87" t="s">
        <v>60</v>
      </c>
      <c r="H71" s="86">
        <v>2</v>
      </c>
      <c r="I71" s="86">
        <f t="shared" si="3"/>
        <v>40</v>
      </c>
    </row>
    <row r="72" spans="2:9" x14ac:dyDescent="0.2">
      <c r="B72" s="210"/>
      <c r="C72" s="210"/>
      <c r="D72" s="210"/>
      <c r="E72" s="210"/>
      <c r="F72" s="210"/>
      <c r="G72" s="211"/>
      <c r="H72" s="210"/>
      <c r="I72" s="89">
        <f>+I66+I67+I68+I69+I70+I71</f>
        <v>580</v>
      </c>
    </row>
    <row r="73" spans="2:9" x14ac:dyDescent="0.2">
      <c r="G73" s="88"/>
    </row>
    <row r="74" spans="2:9" x14ac:dyDescent="0.2">
      <c r="G74" s="88"/>
    </row>
    <row r="75" spans="2:9" x14ac:dyDescent="0.2">
      <c r="B75" s="86"/>
      <c r="C75" s="86" t="s">
        <v>82</v>
      </c>
      <c r="D75" s="213">
        <v>700000</v>
      </c>
      <c r="E75" s="213">
        <f>+D75/1000</f>
        <v>700</v>
      </c>
      <c r="F75" s="86"/>
      <c r="G75" s="87"/>
      <c r="H75" s="86"/>
      <c r="I75" s="214">
        <f>+E75</f>
        <v>700</v>
      </c>
    </row>
    <row r="76" spans="2:9" x14ac:dyDescent="0.2">
      <c r="B76" s="86"/>
      <c r="C76" s="86" t="s">
        <v>83</v>
      </c>
      <c r="D76" s="213">
        <f>3*180000</f>
        <v>540000</v>
      </c>
      <c r="E76" s="213">
        <f>+D76/1000</f>
        <v>540</v>
      </c>
      <c r="F76" s="86">
        <f>+D76/480</f>
        <v>1125</v>
      </c>
      <c r="G76" s="87"/>
      <c r="H76" s="86"/>
      <c r="I76" s="214">
        <f>+E76</f>
        <v>540</v>
      </c>
    </row>
    <row r="77" spans="2:9" x14ac:dyDescent="0.2">
      <c r="B77" s="86"/>
      <c r="C77" s="86" t="s">
        <v>84</v>
      </c>
      <c r="D77" s="213">
        <v>300000</v>
      </c>
      <c r="E77" s="86">
        <f>+D77/1000</f>
        <v>300</v>
      </c>
      <c r="F77" s="86"/>
      <c r="G77" s="87"/>
      <c r="H77" s="86"/>
      <c r="I77" s="86">
        <v>300</v>
      </c>
    </row>
    <row r="78" spans="2:9" x14ac:dyDescent="0.2">
      <c r="B78" s="86"/>
      <c r="C78" s="86" t="s">
        <v>85</v>
      </c>
      <c r="D78" s="213">
        <f>3*180000</f>
        <v>540000</v>
      </c>
      <c r="E78" s="86">
        <f>+D78/1000</f>
        <v>540</v>
      </c>
      <c r="F78" s="86"/>
      <c r="G78" s="87"/>
      <c r="H78" s="86"/>
      <c r="I78" s="86">
        <v>540</v>
      </c>
    </row>
    <row r="79" spans="2:9" x14ac:dyDescent="0.2">
      <c r="B79" s="210"/>
      <c r="C79" s="210"/>
      <c r="D79" s="215">
        <f>SUM(D75:D78)</f>
        <v>2080000</v>
      </c>
      <c r="E79" s="210"/>
      <c r="F79" s="210"/>
      <c r="G79" s="211"/>
      <c r="H79" s="210"/>
      <c r="I79" s="216">
        <f>+I75+I76+I77+I78</f>
        <v>2080</v>
      </c>
    </row>
    <row r="80" spans="2:9" x14ac:dyDescent="0.2">
      <c r="G80" s="88"/>
    </row>
    <row r="81" spans="2:9" x14ac:dyDescent="0.2">
      <c r="B81" s="86"/>
      <c r="C81" s="86" t="s">
        <v>86</v>
      </c>
      <c r="D81" s="86">
        <v>70000000</v>
      </c>
      <c r="E81" s="92">
        <f>+D81/26</f>
        <v>2692307.6923076925</v>
      </c>
      <c r="F81" s="86"/>
      <c r="G81" s="87"/>
      <c r="H81" s="86"/>
      <c r="I81" s="93">
        <f>+E81/1000</f>
        <v>2692.3076923076924</v>
      </c>
    </row>
    <row r="82" spans="2:9" x14ac:dyDescent="0.2">
      <c r="G82" s="88"/>
    </row>
    <row r="83" spans="2:9" x14ac:dyDescent="0.2">
      <c r="D83" s="80" t="s">
        <v>87</v>
      </c>
      <c r="G83" s="88"/>
      <c r="H83" s="89" t="s">
        <v>88</v>
      </c>
      <c r="I83" s="217">
        <f>+I54+I64+I72+I79+I81</f>
        <v>17429.807692307691</v>
      </c>
    </row>
    <row r="84" spans="2:9" x14ac:dyDescent="0.2">
      <c r="D84" s="80" t="s">
        <v>89</v>
      </c>
      <c r="G84" s="88"/>
    </row>
    <row r="85" spans="2:9" x14ac:dyDescent="0.2">
      <c r="D85" s="80" t="s">
        <v>90</v>
      </c>
      <c r="G85" s="88"/>
      <c r="H85" s="95" t="s">
        <v>98</v>
      </c>
      <c r="I85" s="218">
        <f>+I83*0.5</f>
        <v>8714.9038461538457</v>
      </c>
    </row>
    <row r="86" spans="2:9" x14ac:dyDescent="0.2">
      <c r="D86" s="80" t="s">
        <v>92</v>
      </c>
      <c r="G86" s="88"/>
      <c r="H86" s="95" t="s">
        <v>93</v>
      </c>
      <c r="I86" s="217">
        <f>+I83+I85</f>
        <v>26144.711538461539</v>
      </c>
    </row>
    <row r="87" spans="2:9" x14ac:dyDescent="0.2">
      <c r="D87" s="80" t="s">
        <v>94</v>
      </c>
      <c r="G87" s="88"/>
      <c r="H87" s="80" t="s">
        <v>95</v>
      </c>
      <c r="I87" s="84">
        <f>+I86*0.1</f>
        <v>2614.4711538461543</v>
      </c>
    </row>
    <row r="88" spans="2:9" x14ac:dyDescent="0.2">
      <c r="G88" s="88"/>
      <c r="H88" s="89" t="s">
        <v>96</v>
      </c>
      <c r="I88" s="216">
        <f>+I86+I87</f>
        <v>28759.182692307695</v>
      </c>
    </row>
    <row r="90" spans="2:9" x14ac:dyDescent="0.2">
      <c r="I90" s="80" t="s">
        <v>104</v>
      </c>
    </row>
    <row r="93" spans="2:9" x14ac:dyDescent="0.2">
      <c r="B93" s="448" t="s">
        <v>156</v>
      </c>
      <c r="C93" s="448"/>
      <c r="D93" s="448"/>
      <c r="E93" s="448"/>
      <c r="F93" s="448"/>
      <c r="G93" s="448"/>
      <c r="H93" s="448"/>
      <c r="I93" s="448"/>
    </row>
    <row r="94" spans="2:9" x14ac:dyDescent="0.2">
      <c r="G94" s="88"/>
    </row>
    <row r="95" spans="2:9" x14ac:dyDescent="0.2">
      <c r="F95" s="80" t="s">
        <v>56</v>
      </c>
      <c r="G95" s="88"/>
      <c r="H95" s="80" t="s">
        <v>57</v>
      </c>
      <c r="I95" s="80" t="s">
        <v>55</v>
      </c>
    </row>
    <row r="96" spans="2:9" x14ac:dyDescent="0.2">
      <c r="B96" s="86">
        <v>1</v>
      </c>
      <c r="C96" s="86" t="s">
        <v>58</v>
      </c>
      <c r="D96" s="86" t="s">
        <v>59</v>
      </c>
      <c r="E96" s="86"/>
      <c r="F96" s="86">
        <v>650</v>
      </c>
      <c r="G96" s="87" t="s">
        <v>60</v>
      </c>
      <c r="H96" s="86">
        <v>1</v>
      </c>
      <c r="I96" s="86">
        <v>650</v>
      </c>
    </row>
    <row r="97" spans="2:10" x14ac:dyDescent="0.2">
      <c r="B97" s="86">
        <v>2</v>
      </c>
      <c r="C97" s="86" t="s">
        <v>61</v>
      </c>
      <c r="D97" s="86" t="s">
        <v>260</v>
      </c>
      <c r="E97" s="86" t="s">
        <v>97</v>
      </c>
      <c r="F97" s="86">
        <v>600</v>
      </c>
      <c r="G97" s="87" t="s">
        <v>60</v>
      </c>
      <c r="H97" s="86">
        <v>1</v>
      </c>
      <c r="I97" s="86">
        <f>+F97</f>
        <v>600</v>
      </c>
    </row>
    <row r="98" spans="2:10" x14ac:dyDescent="0.2">
      <c r="B98" s="86">
        <v>3</v>
      </c>
      <c r="C98" s="86" t="s">
        <v>61</v>
      </c>
      <c r="D98" s="86" t="s">
        <v>62</v>
      </c>
      <c r="E98" s="86" t="s">
        <v>63</v>
      </c>
      <c r="F98" s="86">
        <v>90</v>
      </c>
      <c r="G98" s="87" t="s">
        <v>60</v>
      </c>
      <c r="H98" s="86">
        <v>1</v>
      </c>
      <c r="I98" s="86">
        <f>+F98*1</f>
        <v>90</v>
      </c>
    </row>
    <row r="99" spans="2:10" x14ac:dyDescent="0.2">
      <c r="B99" s="86">
        <v>5</v>
      </c>
      <c r="C99" s="86" t="s">
        <v>64</v>
      </c>
      <c r="D99" s="86" t="s">
        <v>65</v>
      </c>
      <c r="E99" s="86"/>
      <c r="F99" s="86">
        <v>25</v>
      </c>
      <c r="G99" s="87" t="s">
        <v>60</v>
      </c>
      <c r="H99" s="86">
        <v>1</v>
      </c>
      <c r="I99" s="86">
        <f>+F99*1</f>
        <v>25</v>
      </c>
    </row>
    <row r="100" spans="2:10" x14ac:dyDescent="0.2">
      <c r="B100" s="210"/>
      <c r="C100" s="210"/>
      <c r="D100" s="210"/>
      <c r="E100" s="210"/>
      <c r="F100" s="210"/>
      <c r="G100" s="211"/>
      <c r="H100" s="210"/>
      <c r="I100" s="89">
        <f>+I96+I97+I98+I99</f>
        <v>1365</v>
      </c>
    </row>
    <row r="101" spans="2:10" x14ac:dyDescent="0.2">
      <c r="G101" s="88"/>
    </row>
    <row r="102" spans="2:10" x14ac:dyDescent="0.2">
      <c r="B102" s="86">
        <v>1</v>
      </c>
      <c r="C102" s="86" t="s">
        <v>66</v>
      </c>
      <c r="D102" s="86" t="s">
        <v>67</v>
      </c>
      <c r="E102" s="86">
        <v>9000</v>
      </c>
      <c r="F102" s="86">
        <v>9000</v>
      </c>
      <c r="G102" s="87" t="s">
        <v>60</v>
      </c>
      <c r="H102" s="86">
        <v>0.5</v>
      </c>
      <c r="I102" s="86">
        <f t="shared" ref="I102:I109" si="4">+H102*F102</f>
        <v>4500</v>
      </c>
    </row>
    <row r="103" spans="2:10" x14ac:dyDescent="0.2">
      <c r="B103" s="86">
        <v>2</v>
      </c>
      <c r="C103" s="86" t="s">
        <v>68</v>
      </c>
      <c r="D103" s="86"/>
      <c r="E103" s="86">
        <v>9000</v>
      </c>
      <c r="F103" s="86">
        <v>9000</v>
      </c>
      <c r="G103" s="87" t="s">
        <v>60</v>
      </c>
      <c r="H103" s="86">
        <v>0.5</v>
      </c>
      <c r="I103" s="86">
        <f t="shared" si="4"/>
        <v>4500</v>
      </c>
      <c r="J103" s="80" t="s">
        <v>131</v>
      </c>
    </row>
    <row r="104" spans="2:10" x14ac:dyDescent="0.2">
      <c r="B104" s="86">
        <v>4</v>
      </c>
      <c r="C104" s="86" t="s">
        <v>15</v>
      </c>
      <c r="D104" s="86"/>
      <c r="E104" s="86"/>
      <c r="F104" s="86">
        <f>90000/40</f>
        <v>2250</v>
      </c>
      <c r="G104" s="87" t="s">
        <v>69</v>
      </c>
      <c r="H104" s="86">
        <v>0.2</v>
      </c>
      <c r="I104" s="86">
        <f t="shared" si="4"/>
        <v>450</v>
      </c>
    </row>
    <row r="105" spans="2:10" x14ac:dyDescent="0.2">
      <c r="B105" s="86">
        <v>5</v>
      </c>
      <c r="C105" s="86" t="s">
        <v>16</v>
      </c>
      <c r="D105" s="86"/>
      <c r="E105" s="86"/>
      <c r="F105" s="86">
        <f>70000/40</f>
        <v>1750</v>
      </c>
      <c r="G105" s="87" t="s">
        <v>69</v>
      </c>
      <c r="H105" s="86">
        <v>0.15</v>
      </c>
      <c r="I105" s="86">
        <f t="shared" si="4"/>
        <v>262.5</v>
      </c>
    </row>
    <row r="106" spans="2:10" x14ac:dyDescent="0.2">
      <c r="B106" s="86">
        <v>6</v>
      </c>
      <c r="C106" s="86" t="s">
        <v>12</v>
      </c>
      <c r="D106" s="86"/>
      <c r="E106" s="86"/>
      <c r="F106" s="86">
        <v>2000</v>
      </c>
      <c r="G106" s="87" t="s">
        <v>69</v>
      </c>
      <c r="H106" s="86">
        <v>0.03</v>
      </c>
      <c r="I106" s="86">
        <f t="shared" si="4"/>
        <v>60</v>
      </c>
    </row>
    <row r="107" spans="2:10" x14ac:dyDescent="0.2">
      <c r="B107" s="86">
        <v>7</v>
      </c>
      <c r="C107" s="86" t="s">
        <v>70</v>
      </c>
      <c r="D107" s="86"/>
      <c r="E107" s="86"/>
      <c r="F107" s="86">
        <v>60000</v>
      </c>
      <c r="G107" s="87" t="s">
        <v>69</v>
      </c>
      <c r="H107" s="86">
        <v>3.0000000000000001E-3</v>
      </c>
      <c r="I107" s="86">
        <f t="shared" si="4"/>
        <v>180</v>
      </c>
    </row>
    <row r="108" spans="2:10" x14ac:dyDescent="0.2">
      <c r="B108" s="86">
        <v>8</v>
      </c>
      <c r="C108" s="86" t="s">
        <v>71</v>
      </c>
      <c r="D108" s="86"/>
      <c r="E108" s="86"/>
      <c r="F108" s="86">
        <v>60000</v>
      </c>
      <c r="G108" s="87" t="s">
        <v>69</v>
      </c>
      <c r="H108" s="86">
        <v>3.0000000000000001E-3</v>
      </c>
      <c r="I108" s="86">
        <f t="shared" si="4"/>
        <v>180</v>
      </c>
    </row>
    <row r="109" spans="2:10" x14ac:dyDescent="0.2">
      <c r="B109" s="86">
        <v>9</v>
      </c>
      <c r="C109" s="86" t="s">
        <v>17</v>
      </c>
      <c r="D109" s="86"/>
      <c r="E109" s="86"/>
      <c r="F109" s="86">
        <v>2</v>
      </c>
      <c r="G109" s="87" t="s">
        <v>72</v>
      </c>
      <c r="H109" s="86">
        <v>5</v>
      </c>
      <c r="I109" s="86">
        <f t="shared" si="4"/>
        <v>10</v>
      </c>
    </row>
    <row r="110" spans="2:10" x14ac:dyDescent="0.2">
      <c r="B110" s="210"/>
      <c r="C110" s="210"/>
      <c r="D110" s="210"/>
      <c r="E110" s="210"/>
      <c r="F110" s="210"/>
      <c r="G110" s="211"/>
      <c r="H110" s="210"/>
      <c r="I110" s="212">
        <f>+I102+I103+I104+I105+I106+I107+I108+I109</f>
        <v>10142.5</v>
      </c>
    </row>
    <row r="111" spans="2:10" x14ac:dyDescent="0.2">
      <c r="G111" s="88"/>
    </row>
    <row r="112" spans="2:10" x14ac:dyDescent="0.2">
      <c r="B112" s="86">
        <v>1</v>
      </c>
      <c r="C112" s="86" t="s">
        <v>73</v>
      </c>
      <c r="D112" s="86" t="s">
        <v>74</v>
      </c>
      <c r="E112" s="86" t="s">
        <v>75</v>
      </c>
      <c r="F112" s="86">
        <v>100</v>
      </c>
      <c r="G112" s="87" t="s">
        <v>60</v>
      </c>
      <c r="H112" s="86">
        <v>2</v>
      </c>
      <c r="I112" s="86">
        <f t="shared" ref="I112:I117" si="5">+H112*F112</f>
        <v>200</v>
      </c>
    </row>
    <row r="113" spans="2:9" x14ac:dyDescent="0.2">
      <c r="B113" s="86">
        <v>2</v>
      </c>
      <c r="C113" s="86" t="s">
        <v>76</v>
      </c>
      <c r="D113" s="86" t="s">
        <v>77</v>
      </c>
      <c r="E113" s="86" t="s">
        <v>78</v>
      </c>
      <c r="F113" s="86">
        <v>90</v>
      </c>
      <c r="G113" s="87" t="s">
        <v>60</v>
      </c>
      <c r="H113" s="86">
        <v>2</v>
      </c>
      <c r="I113" s="86">
        <f t="shared" si="5"/>
        <v>180</v>
      </c>
    </row>
    <row r="114" spans="2:9" x14ac:dyDescent="0.2">
      <c r="B114" s="86">
        <v>3</v>
      </c>
      <c r="C114" s="86" t="s">
        <v>76</v>
      </c>
      <c r="D114" s="86" t="s">
        <v>79</v>
      </c>
      <c r="E114" s="86"/>
      <c r="F114" s="86">
        <f>2500/100</f>
        <v>25</v>
      </c>
      <c r="G114" s="87" t="s">
        <v>60</v>
      </c>
      <c r="H114" s="86">
        <v>2</v>
      </c>
      <c r="I114" s="86">
        <f t="shared" si="5"/>
        <v>50</v>
      </c>
    </row>
    <row r="115" spans="2:9" x14ac:dyDescent="0.2">
      <c r="B115" s="86">
        <v>4</v>
      </c>
      <c r="C115" s="86" t="s">
        <v>80</v>
      </c>
      <c r="D115" s="86" t="s">
        <v>81</v>
      </c>
      <c r="E115" s="86" t="s">
        <v>78</v>
      </c>
      <c r="F115" s="86">
        <f>5000/1000</f>
        <v>5</v>
      </c>
      <c r="G115" s="87" t="s">
        <v>60</v>
      </c>
      <c r="H115" s="86">
        <v>2</v>
      </c>
      <c r="I115" s="86">
        <f t="shared" si="5"/>
        <v>10</v>
      </c>
    </row>
    <row r="116" spans="2:9" x14ac:dyDescent="0.2">
      <c r="B116" s="86">
        <v>5</v>
      </c>
      <c r="C116" s="86" t="s">
        <v>26</v>
      </c>
      <c r="D116" s="86"/>
      <c r="E116" s="86"/>
      <c r="F116" s="86">
        <v>100</v>
      </c>
      <c r="G116" s="87" t="s">
        <v>60</v>
      </c>
      <c r="H116" s="86">
        <v>1</v>
      </c>
      <c r="I116" s="86">
        <f t="shared" si="5"/>
        <v>100</v>
      </c>
    </row>
    <row r="117" spans="2:9" x14ac:dyDescent="0.2">
      <c r="B117" s="86">
        <v>6</v>
      </c>
      <c r="C117" s="86" t="s">
        <v>26</v>
      </c>
      <c r="D117" s="86"/>
      <c r="E117" s="86"/>
      <c r="F117" s="86">
        <f>2000/100</f>
        <v>20</v>
      </c>
      <c r="G117" s="87" t="s">
        <v>60</v>
      </c>
      <c r="H117" s="86">
        <v>2</v>
      </c>
      <c r="I117" s="86">
        <f t="shared" si="5"/>
        <v>40</v>
      </c>
    </row>
    <row r="118" spans="2:9" x14ac:dyDescent="0.2">
      <c r="B118" s="210"/>
      <c r="C118" s="210"/>
      <c r="D118" s="210"/>
      <c r="E118" s="210"/>
      <c r="F118" s="210"/>
      <c r="G118" s="211"/>
      <c r="H118" s="210"/>
      <c r="I118" s="89">
        <f>+I112+I113+I114+I115+I116+I117</f>
        <v>580</v>
      </c>
    </row>
    <row r="119" spans="2:9" x14ac:dyDescent="0.2">
      <c r="G119" s="88"/>
    </row>
    <row r="120" spans="2:9" x14ac:dyDescent="0.2">
      <c r="G120" s="88"/>
    </row>
    <row r="121" spans="2:9" x14ac:dyDescent="0.2">
      <c r="B121" s="86"/>
      <c r="C121" s="86" t="s">
        <v>82</v>
      </c>
      <c r="D121" s="213">
        <v>700000</v>
      </c>
      <c r="E121" s="213">
        <f>+D121/1000</f>
        <v>700</v>
      </c>
      <c r="F121" s="86"/>
      <c r="G121" s="87"/>
      <c r="H121" s="86"/>
      <c r="I121" s="214">
        <f>+E121</f>
        <v>700</v>
      </c>
    </row>
    <row r="122" spans="2:9" x14ac:dyDescent="0.2">
      <c r="B122" s="86"/>
      <c r="C122" s="86" t="s">
        <v>83</v>
      </c>
      <c r="D122" s="213">
        <f>3*180000</f>
        <v>540000</v>
      </c>
      <c r="E122" s="213">
        <f>+D122/1000</f>
        <v>540</v>
      </c>
      <c r="F122" s="86">
        <f>+D122/480</f>
        <v>1125</v>
      </c>
      <c r="G122" s="87"/>
      <c r="H122" s="86"/>
      <c r="I122" s="214">
        <f>+E122</f>
        <v>540</v>
      </c>
    </row>
    <row r="123" spans="2:9" x14ac:dyDescent="0.2">
      <c r="B123" s="86"/>
      <c r="C123" s="86" t="s">
        <v>84</v>
      </c>
      <c r="D123" s="86">
        <v>300000</v>
      </c>
      <c r="E123" s="86">
        <f>+D123/1000</f>
        <v>300</v>
      </c>
      <c r="F123" s="86"/>
      <c r="G123" s="87"/>
      <c r="H123" s="86"/>
      <c r="I123" s="86">
        <v>300</v>
      </c>
    </row>
    <row r="124" spans="2:9" x14ac:dyDescent="0.2">
      <c r="B124" s="86"/>
      <c r="C124" s="86" t="s">
        <v>85</v>
      </c>
      <c r="D124" s="213">
        <f>3*180000</f>
        <v>540000</v>
      </c>
      <c r="E124" s="86">
        <f>+D124/1000</f>
        <v>540</v>
      </c>
      <c r="F124" s="86"/>
      <c r="G124" s="87"/>
      <c r="H124" s="86"/>
      <c r="I124" s="86">
        <v>540</v>
      </c>
    </row>
    <row r="125" spans="2:9" x14ac:dyDescent="0.2">
      <c r="B125" s="210"/>
      <c r="C125" s="210"/>
      <c r="D125" s="215"/>
      <c r="E125" s="210"/>
      <c r="F125" s="210"/>
      <c r="G125" s="211"/>
      <c r="H125" s="210"/>
      <c r="I125" s="216">
        <f>+I121+I122+I123+I124</f>
        <v>2080</v>
      </c>
    </row>
    <row r="126" spans="2:9" x14ac:dyDescent="0.2">
      <c r="G126" s="88"/>
    </row>
    <row r="127" spans="2:9" x14ac:dyDescent="0.2">
      <c r="B127" s="86"/>
      <c r="C127" s="86" t="s">
        <v>86</v>
      </c>
      <c r="D127" s="86">
        <v>70000000</v>
      </c>
      <c r="E127" s="92">
        <f>+D127/26</f>
        <v>2692307.6923076925</v>
      </c>
      <c r="F127" s="86"/>
      <c r="G127" s="87"/>
      <c r="H127" s="86"/>
      <c r="I127" s="93">
        <f>+E127/1000</f>
        <v>2692.3076923076924</v>
      </c>
    </row>
    <row r="128" spans="2:9" x14ac:dyDescent="0.2">
      <c r="G128" s="88"/>
    </row>
    <row r="129" spans="2:15" x14ac:dyDescent="0.2">
      <c r="D129" s="80" t="s">
        <v>87</v>
      </c>
      <c r="G129" s="88"/>
      <c r="H129" s="89" t="s">
        <v>88</v>
      </c>
      <c r="I129" s="217">
        <f>+I100+I110+I118+I125+I127</f>
        <v>16859.807692307691</v>
      </c>
    </row>
    <row r="130" spans="2:15" x14ac:dyDescent="0.2">
      <c r="D130" s="80" t="s">
        <v>89</v>
      </c>
      <c r="G130" s="88"/>
      <c r="I130" s="84"/>
    </row>
    <row r="131" spans="2:15" x14ac:dyDescent="0.2">
      <c r="D131" s="80" t="s">
        <v>90</v>
      </c>
      <c r="G131" s="88"/>
      <c r="H131" s="95" t="s">
        <v>98</v>
      </c>
      <c r="I131" s="217">
        <f>+I129*0.5</f>
        <v>8429.9038461538457</v>
      </c>
    </row>
    <row r="132" spans="2:15" x14ac:dyDescent="0.2">
      <c r="D132" s="80" t="s">
        <v>92</v>
      </c>
      <c r="G132" s="88"/>
      <c r="H132" s="95" t="s">
        <v>93</v>
      </c>
      <c r="I132" s="217">
        <f>+I129+I131</f>
        <v>25289.711538461539</v>
      </c>
    </row>
    <row r="133" spans="2:15" x14ac:dyDescent="0.2">
      <c r="D133" s="80" t="s">
        <v>94</v>
      </c>
      <c r="G133" s="88"/>
      <c r="H133" s="80" t="s">
        <v>95</v>
      </c>
      <c r="I133" s="84">
        <f>+I132*0.1</f>
        <v>2528.9711538461543</v>
      </c>
    </row>
    <row r="134" spans="2:15" x14ac:dyDescent="0.2">
      <c r="G134" s="88"/>
      <c r="H134" s="89" t="s">
        <v>96</v>
      </c>
      <c r="I134" s="216">
        <f>+I132+I133</f>
        <v>27818.682692307695</v>
      </c>
    </row>
    <row r="135" spans="2:15" x14ac:dyDescent="0.2">
      <c r="I135" s="84"/>
    </row>
    <row r="136" spans="2:15" x14ac:dyDescent="0.2">
      <c r="I136" s="219">
        <v>28000</v>
      </c>
    </row>
    <row r="137" spans="2:15" x14ac:dyDescent="0.2">
      <c r="I137" s="80">
        <f>+I136*0.28</f>
        <v>7840.0000000000009</v>
      </c>
    </row>
    <row r="138" spans="2:15" x14ac:dyDescent="0.2">
      <c r="I138" s="80">
        <f>+I136+I137</f>
        <v>35840</v>
      </c>
      <c r="J138" s="80" t="s">
        <v>128</v>
      </c>
    </row>
    <row r="141" spans="2:15" x14ac:dyDescent="0.2">
      <c r="B141" s="448" t="s">
        <v>388</v>
      </c>
      <c r="C141" s="448"/>
      <c r="D141" s="448"/>
      <c r="E141" s="448"/>
      <c r="F141" s="448"/>
      <c r="G141" s="448"/>
      <c r="H141" s="448"/>
      <c r="I141" s="448"/>
    </row>
    <row r="142" spans="2:15" x14ac:dyDescent="0.2">
      <c r="G142" s="88"/>
    </row>
    <row r="143" spans="2:15" x14ac:dyDescent="0.2">
      <c r="F143" s="80" t="s">
        <v>56</v>
      </c>
      <c r="G143" s="88"/>
      <c r="H143" s="80" t="s">
        <v>57</v>
      </c>
      <c r="I143" s="80" t="s">
        <v>55</v>
      </c>
      <c r="L143" s="96" t="s">
        <v>184</v>
      </c>
      <c r="M143" s="96"/>
      <c r="N143" s="96"/>
      <c r="O143" s="96"/>
    </row>
    <row r="144" spans="2:15" x14ac:dyDescent="0.2">
      <c r="B144" s="86">
        <v>1</v>
      </c>
      <c r="C144" s="86" t="s">
        <v>228</v>
      </c>
      <c r="D144" s="86" t="s">
        <v>229</v>
      </c>
      <c r="E144" s="86"/>
      <c r="F144" s="86"/>
      <c r="G144" s="278" t="s">
        <v>60</v>
      </c>
      <c r="H144" s="86">
        <v>1</v>
      </c>
      <c r="I144" s="213">
        <v>1000</v>
      </c>
      <c r="L144" s="96"/>
      <c r="M144" s="96"/>
      <c r="N144" s="96">
        <v>10</v>
      </c>
      <c r="O144" s="96">
        <v>0.44</v>
      </c>
    </row>
    <row r="145" spans="2:15" x14ac:dyDescent="0.2">
      <c r="B145" s="86">
        <v>2</v>
      </c>
      <c r="C145" s="86" t="s">
        <v>228</v>
      </c>
      <c r="D145" s="86" t="s">
        <v>230</v>
      </c>
      <c r="E145" s="86"/>
      <c r="F145" s="86"/>
      <c r="G145" s="278" t="s">
        <v>60</v>
      </c>
      <c r="H145" s="86">
        <v>1</v>
      </c>
      <c r="I145" s="213">
        <v>500</v>
      </c>
      <c r="L145" s="96" t="s">
        <v>185</v>
      </c>
      <c r="M145" s="96">
        <v>1.5</v>
      </c>
      <c r="N145" s="96">
        <v>1</v>
      </c>
      <c r="O145" s="96">
        <v>4.3999999999999997E-2</v>
      </c>
    </row>
    <row r="146" spans="2:15" x14ac:dyDescent="0.2">
      <c r="B146" s="86">
        <v>3</v>
      </c>
      <c r="C146" s="86" t="s">
        <v>231</v>
      </c>
      <c r="D146" s="86" t="s">
        <v>232</v>
      </c>
      <c r="E146" s="86"/>
      <c r="F146" s="86"/>
      <c r="G146" s="278" t="s">
        <v>60</v>
      </c>
      <c r="H146" s="86">
        <v>1</v>
      </c>
      <c r="I146" s="213">
        <v>1500</v>
      </c>
      <c r="L146" s="96" t="s">
        <v>186</v>
      </c>
      <c r="M146" s="96">
        <v>0.7</v>
      </c>
      <c r="N146" s="96">
        <v>0.4</v>
      </c>
      <c r="O146" s="96">
        <v>1.7600000000000001E-2</v>
      </c>
    </row>
    <row r="147" spans="2:15" x14ac:dyDescent="0.2">
      <c r="B147" s="210"/>
      <c r="C147" s="210"/>
      <c r="D147" s="210"/>
      <c r="E147" s="210"/>
      <c r="F147" s="210"/>
      <c r="G147" s="211"/>
      <c r="H147" s="210"/>
      <c r="I147" s="281">
        <f>+I144+I145+I146</f>
        <v>3000</v>
      </c>
      <c r="L147" s="96" t="s">
        <v>187</v>
      </c>
      <c r="M147" s="96">
        <v>2</v>
      </c>
      <c r="N147" s="96">
        <v>1.6</v>
      </c>
      <c r="O147" s="96">
        <v>7.0400000000000004E-2</v>
      </c>
    </row>
    <row r="148" spans="2:15" x14ac:dyDescent="0.2">
      <c r="G148" s="88"/>
      <c r="L148" s="96" t="s">
        <v>188</v>
      </c>
      <c r="M148" s="96"/>
      <c r="N148" s="96">
        <v>1.2</v>
      </c>
      <c r="O148" s="96">
        <v>5.28E-2</v>
      </c>
    </row>
    <row r="149" spans="2:15" x14ac:dyDescent="0.2">
      <c r="B149" s="220">
        <v>1</v>
      </c>
      <c r="C149" s="220" t="s">
        <v>185</v>
      </c>
      <c r="D149" s="220">
        <v>0.5</v>
      </c>
      <c r="E149" s="221"/>
      <c r="F149" s="220">
        <v>800</v>
      </c>
      <c r="G149" s="222" t="s">
        <v>69</v>
      </c>
      <c r="H149" s="220"/>
      <c r="I149" s="223">
        <f t="shared" ref="I149:I160" si="6">+D149*F149</f>
        <v>400</v>
      </c>
      <c r="L149" s="96" t="s">
        <v>189</v>
      </c>
      <c r="M149" s="96">
        <v>3.5</v>
      </c>
      <c r="N149" s="96">
        <v>1</v>
      </c>
      <c r="O149" s="96">
        <v>4.3999999999999997E-2</v>
      </c>
    </row>
    <row r="150" spans="2:15" x14ac:dyDescent="0.2">
      <c r="B150" s="220">
        <v>2</v>
      </c>
      <c r="C150" s="220" t="s">
        <v>186</v>
      </c>
      <c r="D150" s="220">
        <v>0.15</v>
      </c>
      <c r="E150" s="221"/>
      <c r="F150" s="220">
        <v>2500</v>
      </c>
      <c r="G150" s="222" t="s">
        <v>69</v>
      </c>
      <c r="H150" s="220"/>
      <c r="I150" s="223">
        <f t="shared" si="6"/>
        <v>375</v>
      </c>
      <c r="L150" s="96" t="s">
        <v>190</v>
      </c>
      <c r="M150" s="96">
        <v>2</v>
      </c>
      <c r="N150" s="96">
        <v>1.5</v>
      </c>
      <c r="O150" s="96">
        <v>6.6000000000000003E-2</v>
      </c>
    </row>
    <row r="151" spans="2:15" x14ac:dyDescent="0.2">
      <c r="B151" s="220">
        <v>3</v>
      </c>
      <c r="C151" s="220" t="s">
        <v>187</v>
      </c>
      <c r="D151" s="220">
        <v>0.2</v>
      </c>
      <c r="E151" s="221"/>
      <c r="F151" s="220">
        <v>5000</v>
      </c>
      <c r="G151" s="222" t="s">
        <v>69</v>
      </c>
      <c r="H151" s="220"/>
      <c r="I151" s="223">
        <f t="shared" si="6"/>
        <v>1000</v>
      </c>
      <c r="L151" s="96" t="s">
        <v>191</v>
      </c>
      <c r="M151" s="96">
        <v>2</v>
      </c>
      <c r="N151" s="96">
        <v>1.5</v>
      </c>
      <c r="O151" s="96">
        <v>6.6000000000000003E-2</v>
      </c>
    </row>
    <row r="152" spans="2:15" x14ac:dyDescent="0.2">
      <c r="B152" s="220">
        <v>4</v>
      </c>
      <c r="C152" s="220" t="s">
        <v>245</v>
      </c>
      <c r="D152" s="220">
        <v>0.5</v>
      </c>
      <c r="E152" s="224"/>
      <c r="F152" s="220">
        <v>5000</v>
      </c>
      <c r="G152" s="222" t="s">
        <v>69</v>
      </c>
      <c r="H152" s="220"/>
      <c r="I152" s="223">
        <f t="shared" si="6"/>
        <v>2500</v>
      </c>
      <c r="L152" s="96" t="s">
        <v>192</v>
      </c>
      <c r="M152" s="96">
        <v>1.5</v>
      </c>
      <c r="N152" s="96">
        <v>1</v>
      </c>
      <c r="O152" s="96">
        <v>4.3999999999999997E-2</v>
      </c>
    </row>
    <row r="153" spans="2:15" x14ac:dyDescent="0.2">
      <c r="B153" s="220">
        <v>6</v>
      </c>
      <c r="C153" s="220" t="s">
        <v>247</v>
      </c>
      <c r="D153" s="220">
        <v>0.5</v>
      </c>
      <c r="E153" s="221"/>
      <c r="F153" s="220">
        <v>6000</v>
      </c>
      <c r="G153" s="222" t="s">
        <v>69</v>
      </c>
      <c r="H153" s="220"/>
      <c r="I153" s="223">
        <f t="shared" si="6"/>
        <v>3000</v>
      </c>
      <c r="L153" s="96" t="s">
        <v>193</v>
      </c>
      <c r="M153" s="96">
        <v>0.8</v>
      </c>
      <c r="N153" s="96">
        <v>0.8</v>
      </c>
      <c r="O153" s="96">
        <v>3.5200000000000002E-2</v>
      </c>
    </row>
    <row r="154" spans="2:15" x14ac:dyDescent="0.2">
      <c r="B154" s="220">
        <v>7</v>
      </c>
      <c r="C154" s="220" t="s">
        <v>191</v>
      </c>
      <c r="D154" s="220">
        <v>0.6</v>
      </c>
      <c r="E154" s="221"/>
      <c r="F154" s="220">
        <v>700</v>
      </c>
      <c r="G154" s="222" t="s">
        <v>69</v>
      </c>
      <c r="H154" s="220"/>
      <c r="I154" s="223">
        <f t="shared" si="6"/>
        <v>420</v>
      </c>
      <c r="L154" s="96" t="s">
        <v>113</v>
      </c>
      <c r="M154" s="96">
        <v>3.5</v>
      </c>
      <c r="N154" s="96">
        <v>2.4</v>
      </c>
      <c r="O154" s="96">
        <v>0.1056</v>
      </c>
    </row>
    <row r="155" spans="2:15" x14ac:dyDescent="0.2">
      <c r="B155" s="220">
        <v>8</v>
      </c>
      <c r="C155" s="220" t="s">
        <v>248</v>
      </c>
      <c r="D155" s="220">
        <v>1</v>
      </c>
      <c r="E155" s="221"/>
      <c r="F155" s="220">
        <v>2000</v>
      </c>
      <c r="G155" s="222" t="s">
        <v>69</v>
      </c>
      <c r="H155" s="220"/>
      <c r="I155" s="223">
        <f t="shared" si="6"/>
        <v>2000</v>
      </c>
      <c r="L155" s="96" t="s">
        <v>109</v>
      </c>
      <c r="M155" s="96">
        <v>0.27</v>
      </c>
      <c r="N155" s="96">
        <v>0.22</v>
      </c>
      <c r="O155" s="96">
        <v>9.6799999999999994E-3</v>
      </c>
    </row>
    <row r="156" spans="2:15" x14ac:dyDescent="0.2">
      <c r="B156" s="220">
        <v>9</v>
      </c>
      <c r="C156" s="220" t="s">
        <v>246</v>
      </c>
      <c r="D156" s="220">
        <v>3.5200000000000002E-2</v>
      </c>
      <c r="E156" s="220"/>
      <c r="F156" s="220">
        <v>800</v>
      </c>
      <c r="G156" s="222" t="s">
        <v>69</v>
      </c>
      <c r="H156" s="220"/>
      <c r="I156" s="223">
        <f t="shared" si="6"/>
        <v>28.16</v>
      </c>
      <c r="L156" s="96" t="s">
        <v>194</v>
      </c>
      <c r="M156" s="96">
        <v>3.1</v>
      </c>
      <c r="N156" s="96">
        <v>1.7</v>
      </c>
      <c r="O156" s="96">
        <v>7.4800000000000005E-2</v>
      </c>
    </row>
    <row r="157" spans="2:15" x14ac:dyDescent="0.2">
      <c r="B157" s="86">
        <v>10</v>
      </c>
      <c r="C157" s="86" t="s">
        <v>113</v>
      </c>
      <c r="D157" s="86">
        <v>0.1056</v>
      </c>
      <c r="E157" s="86"/>
      <c r="F157" s="86">
        <v>3000</v>
      </c>
      <c r="G157" s="87" t="s">
        <v>69</v>
      </c>
      <c r="H157" s="86"/>
      <c r="I157" s="92">
        <f t="shared" si="6"/>
        <v>316.8</v>
      </c>
      <c r="L157" s="96" t="s">
        <v>195</v>
      </c>
      <c r="M157" s="96">
        <v>1.4999999999999999E-2</v>
      </c>
      <c r="N157" s="96">
        <v>0.01</v>
      </c>
      <c r="O157" s="96">
        <v>4.4000000000000002E-4</v>
      </c>
    </row>
    <row r="158" spans="2:15" x14ac:dyDescent="0.2">
      <c r="B158" s="86">
        <v>11</v>
      </c>
      <c r="C158" s="86" t="s">
        <v>109</v>
      </c>
      <c r="D158" s="86">
        <v>9.6799999999999994E-3</v>
      </c>
      <c r="E158" s="86"/>
      <c r="F158" s="86">
        <v>3000</v>
      </c>
      <c r="G158" s="87" t="s">
        <v>69</v>
      </c>
      <c r="H158" s="86"/>
      <c r="I158" s="92">
        <f t="shared" si="6"/>
        <v>29.04</v>
      </c>
      <c r="L158" s="96" t="s">
        <v>176</v>
      </c>
      <c r="M158" s="96">
        <v>0.35</v>
      </c>
      <c r="N158" s="96">
        <v>0.02</v>
      </c>
      <c r="O158" s="96">
        <v>8.8000000000000003E-4</v>
      </c>
    </row>
    <row r="159" spans="2:15" x14ac:dyDescent="0.2">
      <c r="B159" s="86">
        <v>12</v>
      </c>
      <c r="C159" s="86" t="s">
        <v>194</v>
      </c>
      <c r="D159" s="86">
        <v>7.4800000000000005E-2</v>
      </c>
      <c r="E159" s="86"/>
      <c r="F159" s="86">
        <v>10</v>
      </c>
      <c r="G159" s="87" t="s">
        <v>69</v>
      </c>
      <c r="H159" s="86"/>
      <c r="I159" s="92">
        <f t="shared" si="6"/>
        <v>0.748</v>
      </c>
      <c r="L159" s="96" t="s">
        <v>196</v>
      </c>
      <c r="M159" s="96"/>
      <c r="N159" s="96">
        <v>0.01</v>
      </c>
      <c r="O159" s="96">
        <v>4.4000000000000002E-4</v>
      </c>
    </row>
    <row r="160" spans="2:15" x14ac:dyDescent="0.2">
      <c r="B160" s="86">
        <v>17</v>
      </c>
      <c r="C160" s="86" t="s">
        <v>194</v>
      </c>
      <c r="D160" s="86"/>
      <c r="E160" s="86"/>
      <c r="F160" s="86"/>
      <c r="G160" s="87" t="s">
        <v>69</v>
      </c>
      <c r="H160" s="86"/>
      <c r="I160" s="92">
        <f t="shared" si="6"/>
        <v>0</v>
      </c>
      <c r="L160" s="96" t="s">
        <v>197</v>
      </c>
      <c r="M160" s="96">
        <v>9</v>
      </c>
      <c r="N160" s="96">
        <v>6</v>
      </c>
      <c r="O160" s="96">
        <v>0.26400000000000001</v>
      </c>
    </row>
    <row r="161" spans="2:15" x14ac:dyDescent="0.2">
      <c r="B161" s="210"/>
      <c r="G161" s="88"/>
      <c r="I161" s="212">
        <f>SUM(I149:I160)</f>
        <v>10069.748</v>
      </c>
      <c r="L161" s="96" t="s">
        <v>194</v>
      </c>
      <c r="M161" s="96">
        <v>4.5</v>
      </c>
      <c r="N161" s="96">
        <v>3</v>
      </c>
      <c r="O161" s="96">
        <v>0.13200000000000001</v>
      </c>
    </row>
    <row r="162" spans="2:15" x14ac:dyDescent="0.2">
      <c r="G162" s="88"/>
      <c r="L162" s="96" t="s">
        <v>179</v>
      </c>
      <c r="M162" s="96">
        <v>33.1</v>
      </c>
      <c r="N162" s="96">
        <v>22</v>
      </c>
      <c r="O162" s="96">
        <v>0.96799999999999997</v>
      </c>
    </row>
    <row r="163" spans="2:15" x14ac:dyDescent="0.2">
      <c r="B163" s="86"/>
      <c r="C163" s="86" t="s">
        <v>255</v>
      </c>
      <c r="D163" s="213" t="s">
        <v>202</v>
      </c>
      <c r="E163" s="213">
        <v>100000</v>
      </c>
      <c r="F163" s="86"/>
      <c r="G163" s="87"/>
      <c r="H163" s="86"/>
      <c r="I163" s="213"/>
      <c r="L163" s="96" t="s">
        <v>198</v>
      </c>
      <c r="M163" s="96">
        <v>867</v>
      </c>
      <c r="N163" s="96"/>
      <c r="O163" s="96">
        <v>0</v>
      </c>
    </row>
    <row r="164" spans="2:15" x14ac:dyDescent="0.2">
      <c r="B164" s="86"/>
      <c r="C164" s="86" t="s">
        <v>256</v>
      </c>
      <c r="D164" s="213"/>
      <c r="E164" s="213">
        <v>300000</v>
      </c>
      <c r="F164" s="86"/>
      <c r="G164" s="87"/>
      <c r="H164" s="86"/>
      <c r="I164" s="213"/>
    </row>
    <row r="165" spans="2:15" x14ac:dyDescent="0.2">
      <c r="B165" s="86"/>
      <c r="C165" s="86" t="s">
        <v>257</v>
      </c>
      <c r="D165" s="86"/>
      <c r="E165" s="213">
        <v>100000</v>
      </c>
      <c r="F165" s="86"/>
      <c r="G165" s="87"/>
      <c r="H165" s="86"/>
      <c r="I165" s="213"/>
    </row>
    <row r="166" spans="2:15" x14ac:dyDescent="0.2">
      <c r="B166" s="86"/>
      <c r="C166" s="86" t="s">
        <v>258</v>
      </c>
      <c r="D166" s="213"/>
      <c r="E166" s="213">
        <v>100000</v>
      </c>
      <c r="F166" s="86"/>
      <c r="G166" s="87"/>
      <c r="H166" s="86"/>
      <c r="I166" s="213"/>
    </row>
    <row r="167" spans="2:15" x14ac:dyDescent="0.2">
      <c r="B167" s="210"/>
      <c r="C167" s="210"/>
      <c r="D167" s="215"/>
      <c r="E167" s="225">
        <f>SUM(E163:E166)</f>
        <v>600000</v>
      </c>
      <c r="F167" s="210"/>
      <c r="G167" s="211"/>
      <c r="H167" s="210"/>
      <c r="I167" s="226">
        <f>+E167/240</f>
        <v>2500</v>
      </c>
    </row>
    <row r="168" spans="2:15" x14ac:dyDescent="0.2">
      <c r="G168" s="88"/>
    </row>
    <row r="169" spans="2:15" x14ac:dyDescent="0.2">
      <c r="B169" s="86"/>
      <c r="C169" s="86" t="s">
        <v>86</v>
      </c>
      <c r="D169" s="213">
        <v>80000000</v>
      </c>
      <c r="E169" s="92">
        <f>+D169/26</f>
        <v>3076923.076923077</v>
      </c>
      <c r="F169" s="86">
        <f>+E169/2</f>
        <v>1538461.5384615385</v>
      </c>
      <c r="G169" s="87"/>
      <c r="H169" s="86"/>
      <c r="I169" s="93">
        <f>+E169/240</f>
        <v>12820.51282051282</v>
      </c>
    </row>
    <row r="170" spans="2:15" x14ac:dyDescent="0.2">
      <c r="G170" s="88"/>
    </row>
    <row r="171" spans="2:15" x14ac:dyDescent="0.2">
      <c r="G171" s="88"/>
      <c r="H171" s="89" t="s">
        <v>88</v>
      </c>
      <c r="I171" s="217">
        <f>+I145+I161+I167+I169</f>
        <v>25890.26082051282</v>
      </c>
    </row>
    <row r="172" spans="2:15" x14ac:dyDescent="0.2">
      <c r="G172" s="88"/>
    </row>
    <row r="173" spans="2:15" x14ac:dyDescent="0.2">
      <c r="G173" s="88"/>
      <c r="H173" s="95" t="s">
        <v>91</v>
      </c>
      <c r="I173" s="218">
        <f>+I171*0.3</f>
        <v>7767.0782461538456</v>
      </c>
    </row>
    <row r="174" spans="2:15" x14ac:dyDescent="0.2">
      <c r="G174" s="88"/>
      <c r="H174" s="95" t="s">
        <v>93</v>
      </c>
      <c r="I174" s="217">
        <f>+I171+I173</f>
        <v>33657.339066666667</v>
      </c>
    </row>
    <row r="175" spans="2:15" x14ac:dyDescent="0.2">
      <c r="G175" s="88"/>
      <c r="H175" s="80" t="s">
        <v>95</v>
      </c>
      <c r="I175" s="84">
        <f>+I174*0.1</f>
        <v>3365.7339066666668</v>
      </c>
    </row>
    <row r="176" spans="2:15" x14ac:dyDescent="0.2">
      <c r="G176" s="88"/>
      <c r="H176" s="89" t="s">
        <v>96</v>
      </c>
      <c r="I176" s="216">
        <f>+I174+I175</f>
        <v>37023.072973333336</v>
      </c>
    </row>
    <row r="177" spans="2:9" x14ac:dyDescent="0.2">
      <c r="I177" s="91">
        <f>+I176*0.32</f>
        <v>11847.383351466668</v>
      </c>
    </row>
    <row r="178" spans="2:9" x14ac:dyDescent="0.2">
      <c r="I178" s="227">
        <f>+I176+I177</f>
        <v>48870.456324800005</v>
      </c>
    </row>
    <row r="181" spans="2:9" x14ac:dyDescent="0.2">
      <c r="B181" s="448" t="s">
        <v>227</v>
      </c>
      <c r="C181" s="448"/>
      <c r="D181" s="448"/>
      <c r="E181" s="448"/>
      <c r="F181" s="448"/>
      <c r="G181" s="448"/>
      <c r="H181" s="448"/>
      <c r="I181" s="448"/>
    </row>
    <row r="182" spans="2:9" x14ac:dyDescent="0.2">
      <c r="G182" s="88"/>
      <c r="I182" s="91"/>
    </row>
    <row r="183" spans="2:9" x14ac:dyDescent="0.2">
      <c r="F183" s="80" t="s">
        <v>56</v>
      </c>
      <c r="G183" s="88"/>
      <c r="H183" s="80" t="s">
        <v>57</v>
      </c>
      <c r="I183" s="91" t="s">
        <v>55</v>
      </c>
    </row>
    <row r="184" spans="2:9" x14ac:dyDescent="0.2">
      <c r="B184" s="86">
        <v>1</v>
      </c>
      <c r="C184" s="86" t="s">
        <v>228</v>
      </c>
      <c r="D184" s="86" t="s">
        <v>229</v>
      </c>
      <c r="E184" s="86"/>
      <c r="F184" s="86"/>
      <c r="G184" s="87" t="s">
        <v>60</v>
      </c>
      <c r="H184" s="86">
        <v>1</v>
      </c>
      <c r="I184" s="213">
        <v>1000</v>
      </c>
    </row>
    <row r="185" spans="2:9" x14ac:dyDescent="0.2">
      <c r="B185" s="86">
        <v>2</v>
      </c>
      <c r="C185" s="86" t="s">
        <v>228</v>
      </c>
      <c r="D185" s="86" t="s">
        <v>230</v>
      </c>
      <c r="E185" s="86"/>
      <c r="F185" s="86"/>
      <c r="G185" s="87" t="s">
        <v>60</v>
      </c>
      <c r="H185" s="86">
        <v>1</v>
      </c>
      <c r="I185" s="213">
        <v>500</v>
      </c>
    </row>
    <row r="186" spans="2:9" x14ac:dyDescent="0.2">
      <c r="B186" s="86">
        <v>3</v>
      </c>
      <c r="C186" s="86" t="s">
        <v>231</v>
      </c>
      <c r="D186" s="86" t="s">
        <v>232</v>
      </c>
      <c r="E186" s="86"/>
      <c r="F186" s="86"/>
      <c r="G186" s="87" t="s">
        <v>60</v>
      </c>
      <c r="H186" s="86">
        <v>1</v>
      </c>
      <c r="I186" s="213">
        <v>1500</v>
      </c>
    </row>
    <row r="187" spans="2:9" x14ac:dyDescent="0.2">
      <c r="B187" s="86"/>
      <c r="C187" s="86"/>
      <c r="D187" s="86"/>
      <c r="E187" s="86"/>
      <c r="F187" s="86"/>
      <c r="G187" s="87" t="s">
        <v>60</v>
      </c>
      <c r="H187" s="86">
        <v>1</v>
      </c>
      <c r="I187" s="213">
        <f>+F187*1</f>
        <v>0</v>
      </c>
    </row>
    <row r="188" spans="2:9" x14ac:dyDescent="0.2">
      <c r="B188" s="210"/>
      <c r="C188" s="210"/>
      <c r="D188" s="210"/>
      <c r="E188" s="210"/>
      <c r="F188" s="210"/>
      <c r="G188" s="211"/>
      <c r="H188" s="210"/>
      <c r="I188" s="226">
        <f>+I184+I185+I186+I187</f>
        <v>3000</v>
      </c>
    </row>
    <row r="189" spans="2:9" x14ac:dyDescent="0.2">
      <c r="G189" s="88"/>
      <c r="I189" s="91"/>
    </row>
    <row r="190" spans="2:9" x14ac:dyDescent="0.2">
      <c r="B190" s="86">
        <v>1</v>
      </c>
      <c r="C190" s="86" t="s">
        <v>233</v>
      </c>
      <c r="D190" s="86" t="s">
        <v>241</v>
      </c>
      <c r="E190" s="86"/>
      <c r="F190" s="86">
        <v>18000</v>
      </c>
      <c r="G190" s="87" t="s">
        <v>60</v>
      </c>
      <c r="H190" s="86">
        <v>1.5</v>
      </c>
      <c r="I190" s="213">
        <f t="shared" ref="I190:I196" si="7">+H190*F190</f>
        <v>27000</v>
      </c>
    </row>
    <row r="191" spans="2:9" x14ac:dyDescent="0.2">
      <c r="B191" s="86">
        <v>2</v>
      </c>
      <c r="C191" s="86" t="s">
        <v>234</v>
      </c>
      <c r="D191" s="86" t="s">
        <v>238</v>
      </c>
      <c r="E191" s="86">
        <v>0.35</v>
      </c>
      <c r="F191" s="86">
        <v>3000</v>
      </c>
      <c r="G191" s="87" t="s">
        <v>60</v>
      </c>
      <c r="H191" s="86">
        <v>0.4</v>
      </c>
      <c r="I191" s="213">
        <f t="shared" si="7"/>
        <v>1200</v>
      </c>
    </row>
    <row r="192" spans="2:9" x14ac:dyDescent="0.2">
      <c r="B192" s="86">
        <v>5</v>
      </c>
      <c r="C192" s="86" t="s">
        <v>16</v>
      </c>
      <c r="D192" s="86" t="s">
        <v>239</v>
      </c>
      <c r="E192" s="86">
        <v>0.15</v>
      </c>
      <c r="F192" s="86">
        <v>2500</v>
      </c>
      <c r="G192" s="87" t="s">
        <v>69</v>
      </c>
      <c r="H192" s="86">
        <v>0.2</v>
      </c>
      <c r="I192" s="213">
        <f t="shared" si="7"/>
        <v>500</v>
      </c>
    </row>
    <row r="193" spans="2:11" x14ac:dyDescent="0.2">
      <c r="B193" s="86">
        <v>6</v>
      </c>
      <c r="C193" s="86" t="s">
        <v>12</v>
      </c>
      <c r="D193" s="86"/>
      <c r="E193" s="86"/>
      <c r="F193" s="86">
        <v>2000</v>
      </c>
      <c r="G193" s="87" t="s">
        <v>69</v>
      </c>
      <c r="H193" s="86">
        <v>0.03</v>
      </c>
      <c r="I193" s="213">
        <f t="shared" si="7"/>
        <v>60</v>
      </c>
    </row>
    <row r="194" spans="2:11" x14ac:dyDescent="0.2">
      <c r="B194" s="86">
        <v>7</v>
      </c>
      <c r="C194" s="86" t="s">
        <v>70</v>
      </c>
      <c r="D194" s="86"/>
      <c r="E194" s="86"/>
      <c r="F194" s="86">
        <v>60000</v>
      </c>
      <c r="G194" s="87" t="s">
        <v>69</v>
      </c>
      <c r="H194" s="86">
        <v>3.0000000000000001E-3</v>
      </c>
      <c r="I194" s="213">
        <f t="shared" si="7"/>
        <v>180</v>
      </c>
    </row>
    <row r="195" spans="2:11" x14ac:dyDescent="0.2">
      <c r="B195" s="86">
        <v>8</v>
      </c>
      <c r="C195" s="86" t="s">
        <v>240</v>
      </c>
      <c r="D195" s="86"/>
      <c r="E195" s="86"/>
      <c r="F195" s="86">
        <v>35000</v>
      </c>
      <c r="G195" s="87" t="s">
        <v>69</v>
      </c>
      <c r="H195" s="86">
        <v>3.0000000000000001E-3</v>
      </c>
      <c r="I195" s="213">
        <f t="shared" si="7"/>
        <v>105</v>
      </c>
    </row>
    <row r="196" spans="2:11" x14ac:dyDescent="0.2">
      <c r="B196" s="86">
        <v>9</v>
      </c>
      <c r="C196" s="86" t="s">
        <v>17</v>
      </c>
      <c r="D196" s="86"/>
      <c r="E196" s="86"/>
      <c r="F196" s="86">
        <v>2</v>
      </c>
      <c r="G196" s="87" t="s">
        <v>72</v>
      </c>
      <c r="H196" s="86">
        <v>0.5</v>
      </c>
      <c r="I196" s="213">
        <f t="shared" si="7"/>
        <v>1</v>
      </c>
    </row>
    <row r="197" spans="2:11" x14ac:dyDescent="0.2">
      <c r="B197" s="210"/>
      <c r="C197" s="210"/>
      <c r="D197" s="210"/>
      <c r="E197" s="210"/>
      <c r="F197" s="210"/>
      <c r="G197" s="211"/>
      <c r="H197" s="210"/>
      <c r="I197" s="228">
        <f>SUM(I190:I196)</f>
        <v>29046</v>
      </c>
    </row>
    <row r="198" spans="2:11" x14ac:dyDescent="0.2">
      <c r="G198" s="88"/>
      <c r="I198" s="91"/>
    </row>
    <row r="199" spans="2:11" x14ac:dyDescent="0.2">
      <c r="C199" s="449" t="s">
        <v>242</v>
      </c>
      <c r="D199" s="449"/>
      <c r="G199" s="88"/>
      <c r="I199" s="91"/>
    </row>
    <row r="200" spans="2:11" x14ac:dyDescent="0.2">
      <c r="B200" s="86"/>
      <c r="C200" s="86" t="s">
        <v>235</v>
      </c>
      <c r="D200" s="213">
        <v>4</v>
      </c>
      <c r="E200" s="213">
        <v>400000</v>
      </c>
      <c r="F200" s="86"/>
      <c r="G200" s="87"/>
      <c r="H200" s="86"/>
      <c r="I200" s="213">
        <f>+E200</f>
        <v>400000</v>
      </c>
    </row>
    <row r="201" spans="2:11" x14ac:dyDescent="0.2">
      <c r="B201" s="86"/>
      <c r="C201" s="86" t="s">
        <v>243</v>
      </c>
      <c r="D201" s="213">
        <v>4</v>
      </c>
      <c r="E201" s="213">
        <v>400000</v>
      </c>
      <c r="F201" s="86"/>
      <c r="G201" s="87"/>
      <c r="H201" s="86"/>
      <c r="I201" s="213">
        <f>+E201</f>
        <v>400000</v>
      </c>
    </row>
    <row r="202" spans="2:11" x14ac:dyDescent="0.2">
      <c r="B202" s="86"/>
      <c r="C202" s="86" t="s">
        <v>236</v>
      </c>
      <c r="D202" s="86">
        <v>1</v>
      </c>
      <c r="E202" s="213">
        <v>150000</v>
      </c>
      <c r="F202" s="86"/>
      <c r="G202" s="87"/>
      <c r="H202" s="86"/>
      <c r="I202" s="213">
        <v>300</v>
      </c>
    </row>
    <row r="203" spans="2:11" x14ac:dyDescent="0.2">
      <c r="B203" s="86"/>
      <c r="C203" s="86" t="s">
        <v>237</v>
      </c>
      <c r="D203" s="213">
        <v>1</v>
      </c>
      <c r="E203" s="213">
        <v>100000</v>
      </c>
      <c r="F203" s="86"/>
      <c r="G203" s="87"/>
      <c r="H203" s="86"/>
      <c r="I203" s="213">
        <v>540</v>
      </c>
    </row>
    <row r="204" spans="2:11" x14ac:dyDescent="0.2">
      <c r="B204" s="210"/>
      <c r="C204" s="210"/>
      <c r="D204" s="215"/>
      <c r="E204" s="225">
        <f>+E200+E201+E202+E203</f>
        <v>1050000</v>
      </c>
      <c r="F204" s="210"/>
      <c r="G204" s="211"/>
      <c r="H204" s="210"/>
      <c r="I204" s="226">
        <f>+E204/300</f>
        <v>3500</v>
      </c>
      <c r="K204" s="84"/>
    </row>
    <row r="205" spans="2:11" x14ac:dyDescent="0.2">
      <c r="G205" s="88"/>
      <c r="I205" s="91"/>
    </row>
    <row r="206" spans="2:11" x14ac:dyDescent="0.2">
      <c r="B206" s="86"/>
      <c r="C206" s="86"/>
      <c r="D206" s="86"/>
      <c r="E206" s="92"/>
      <c r="F206" s="86"/>
      <c r="G206" s="87"/>
      <c r="H206" s="86"/>
      <c r="I206" s="229"/>
    </row>
    <row r="207" spans="2:11" x14ac:dyDescent="0.2">
      <c r="G207" s="88"/>
      <c r="I207" s="91"/>
    </row>
    <row r="208" spans="2:11" x14ac:dyDescent="0.2">
      <c r="G208" s="88"/>
      <c r="H208" s="89" t="s">
        <v>88</v>
      </c>
      <c r="I208" s="229">
        <f>+I206+I204+I188+I197</f>
        <v>35546</v>
      </c>
    </row>
    <row r="209" spans="2:11" x14ac:dyDescent="0.2">
      <c r="G209" s="88"/>
      <c r="I209" s="91"/>
    </row>
    <row r="210" spans="2:11" x14ac:dyDescent="0.2">
      <c r="G210" s="88"/>
      <c r="H210" s="95" t="s">
        <v>91</v>
      </c>
      <c r="I210" s="229">
        <f>+I208*0.3</f>
        <v>10663.8</v>
      </c>
    </row>
    <row r="211" spans="2:11" x14ac:dyDescent="0.2">
      <c r="G211" s="88"/>
      <c r="H211" s="95" t="s">
        <v>93</v>
      </c>
      <c r="I211" s="229">
        <f>+I208+I210</f>
        <v>46209.8</v>
      </c>
    </row>
    <row r="212" spans="2:11" x14ac:dyDescent="0.2">
      <c r="G212" s="88"/>
      <c r="H212" s="80" t="s">
        <v>95</v>
      </c>
      <c r="I212" s="91">
        <f>+I211*0.1</f>
        <v>4620.9800000000005</v>
      </c>
    </row>
    <row r="213" spans="2:11" x14ac:dyDescent="0.2">
      <c r="G213" s="88"/>
      <c r="H213" s="89" t="s">
        <v>96</v>
      </c>
      <c r="I213" s="226">
        <f>+I211+I212</f>
        <v>50830.780000000006</v>
      </c>
    </row>
    <row r="214" spans="2:11" x14ac:dyDescent="0.2">
      <c r="I214" s="91">
        <f>+I213*0.08</f>
        <v>4066.4624000000008</v>
      </c>
      <c r="K214" s="84"/>
    </row>
    <row r="215" spans="2:11" x14ac:dyDescent="0.2">
      <c r="H215" s="80">
        <v>32</v>
      </c>
      <c r="I215" s="91">
        <f>+H215*I213/100</f>
        <v>16265.849600000001</v>
      </c>
      <c r="J215" s="84">
        <f>+I213+I214</f>
        <v>54897.24240000001</v>
      </c>
    </row>
    <row r="216" spans="2:11" x14ac:dyDescent="0.2">
      <c r="I216" s="91">
        <f>+I215+I213</f>
        <v>67096.629600000015</v>
      </c>
    </row>
    <row r="217" spans="2:11" x14ac:dyDescent="0.2">
      <c r="I217" s="91" t="s">
        <v>244</v>
      </c>
    </row>
    <row r="218" spans="2:11" x14ac:dyDescent="0.2">
      <c r="I218" s="91"/>
    </row>
    <row r="219" spans="2:11" x14ac:dyDescent="0.2">
      <c r="H219" s="80">
        <v>100</v>
      </c>
      <c r="I219" s="91">
        <v>89500</v>
      </c>
    </row>
    <row r="220" spans="2:11" x14ac:dyDescent="0.2">
      <c r="H220" s="80">
        <v>76</v>
      </c>
      <c r="I220" s="91">
        <f>+I219*H220/H219</f>
        <v>68020</v>
      </c>
    </row>
    <row r="221" spans="2:11" x14ac:dyDescent="0.2">
      <c r="I221" s="91">
        <f>+I220-I213</f>
        <v>17189.219999999994</v>
      </c>
    </row>
    <row r="222" spans="2:11" x14ac:dyDescent="0.2">
      <c r="I222" s="91"/>
      <c r="K222" s="80">
        <v>76</v>
      </c>
    </row>
    <row r="223" spans="2:11" x14ac:dyDescent="0.2">
      <c r="K223" s="80">
        <f>+J215*100/K222</f>
        <v>72233.213684210539</v>
      </c>
    </row>
    <row r="224" spans="2:11" x14ac:dyDescent="0.2">
      <c r="B224" s="450" t="s">
        <v>379</v>
      </c>
      <c r="C224" s="451"/>
      <c r="D224" s="451"/>
      <c r="E224" s="451"/>
      <c r="F224" s="451"/>
      <c r="G224" s="451"/>
      <c r="H224" s="451"/>
      <c r="I224" s="452"/>
    </row>
    <row r="225" spans="2:9" x14ac:dyDescent="0.2">
      <c r="G225" s="88"/>
    </row>
    <row r="226" spans="2:9" x14ac:dyDescent="0.2">
      <c r="F226" s="80" t="s">
        <v>56</v>
      </c>
      <c r="G226" s="88"/>
      <c r="H226" s="80" t="s">
        <v>57</v>
      </c>
      <c r="I226" s="80" t="s">
        <v>55</v>
      </c>
    </row>
    <row r="227" spans="2:9" x14ac:dyDescent="0.2">
      <c r="B227" s="86">
        <v>1</v>
      </c>
      <c r="C227" s="86" t="s">
        <v>228</v>
      </c>
      <c r="D227" s="86" t="s">
        <v>229</v>
      </c>
      <c r="E227" s="86"/>
      <c r="F227" s="86"/>
      <c r="G227" s="87" t="s">
        <v>60</v>
      </c>
      <c r="H227" s="86">
        <v>1</v>
      </c>
      <c r="I227" s="86">
        <v>500</v>
      </c>
    </row>
    <row r="228" spans="2:9" x14ac:dyDescent="0.2">
      <c r="B228" s="86">
        <v>2</v>
      </c>
      <c r="C228" s="86" t="s">
        <v>228</v>
      </c>
      <c r="D228" s="86" t="s">
        <v>230</v>
      </c>
      <c r="E228" s="86"/>
      <c r="F228" s="86"/>
      <c r="G228" s="87" t="s">
        <v>60</v>
      </c>
      <c r="H228" s="86">
        <v>1</v>
      </c>
      <c r="I228" s="86">
        <v>350</v>
      </c>
    </row>
    <row r="229" spans="2:9" x14ac:dyDescent="0.2">
      <c r="B229" s="86">
        <v>3</v>
      </c>
      <c r="C229" s="86" t="s">
        <v>231</v>
      </c>
      <c r="D229" s="86" t="s">
        <v>380</v>
      </c>
      <c r="E229" s="86"/>
      <c r="F229" s="86"/>
      <c r="G229" s="87" t="s">
        <v>60</v>
      </c>
      <c r="H229" s="86">
        <v>1</v>
      </c>
      <c r="I229" s="86">
        <v>1500</v>
      </c>
    </row>
    <row r="230" spans="2:9" x14ac:dyDescent="0.2">
      <c r="B230" s="86"/>
      <c r="C230" s="86"/>
      <c r="D230" s="86"/>
      <c r="E230" s="86"/>
      <c r="F230" s="86"/>
      <c r="G230" s="87" t="s">
        <v>60</v>
      </c>
      <c r="H230" s="86">
        <v>1</v>
      </c>
      <c r="I230" s="86">
        <f>+F230*1</f>
        <v>0</v>
      </c>
    </row>
    <row r="231" spans="2:9" x14ac:dyDescent="0.2">
      <c r="B231" s="210"/>
      <c r="C231" s="210"/>
      <c r="D231" s="210"/>
      <c r="E231" s="210"/>
      <c r="F231" s="210"/>
      <c r="G231" s="211"/>
      <c r="H231" s="210"/>
      <c r="I231" s="89">
        <f>+I227+I228+I229+I230</f>
        <v>2350</v>
      </c>
    </row>
    <row r="232" spans="2:9" ht="15" customHeight="1" x14ac:dyDescent="0.2">
      <c r="G232" s="88"/>
      <c r="I232" s="80" t="s">
        <v>381</v>
      </c>
    </row>
    <row r="233" spans="2:9" x14ac:dyDescent="0.2">
      <c r="B233" s="86">
        <v>1</v>
      </c>
      <c r="C233" s="86" t="s">
        <v>233</v>
      </c>
      <c r="D233" s="86" t="s">
        <v>241</v>
      </c>
      <c r="E233" s="86"/>
      <c r="F233" s="86">
        <v>18000</v>
      </c>
      <c r="G233" s="87" t="s">
        <v>60</v>
      </c>
      <c r="H233" s="230">
        <v>0.5</v>
      </c>
      <c r="I233" s="86">
        <f t="shared" ref="I233:I239" si="8">+H233*F233</f>
        <v>9000</v>
      </c>
    </row>
    <row r="234" spans="2:9" x14ac:dyDescent="0.2">
      <c r="B234" s="86">
        <v>2</v>
      </c>
      <c r="C234" s="86" t="s">
        <v>234</v>
      </c>
      <c r="D234" s="86" t="s">
        <v>238</v>
      </c>
      <c r="E234" s="86">
        <v>0.35</v>
      </c>
      <c r="F234" s="86">
        <v>3000</v>
      </c>
      <c r="G234" s="87" t="s">
        <v>60</v>
      </c>
      <c r="H234" s="230">
        <v>0.2</v>
      </c>
      <c r="I234" s="86">
        <f t="shared" si="8"/>
        <v>600</v>
      </c>
    </row>
    <row r="235" spans="2:9" x14ac:dyDescent="0.2">
      <c r="B235" s="86">
        <v>3</v>
      </c>
      <c r="C235" s="86" t="s">
        <v>16</v>
      </c>
      <c r="D235" s="86" t="s">
        <v>239</v>
      </c>
      <c r="E235" s="86">
        <v>0.15</v>
      </c>
      <c r="F235" s="86">
        <v>2500</v>
      </c>
      <c r="G235" s="87" t="s">
        <v>69</v>
      </c>
      <c r="H235" s="230">
        <v>0.1</v>
      </c>
      <c r="I235" s="86">
        <f t="shared" si="8"/>
        <v>250</v>
      </c>
    </row>
    <row r="236" spans="2:9" x14ac:dyDescent="0.2">
      <c r="B236" s="86">
        <v>4</v>
      </c>
      <c r="C236" s="86" t="s">
        <v>12</v>
      </c>
      <c r="D236" s="86"/>
      <c r="E236" s="86"/>
      <c r="F236" s="86">
        <v>2000</v>
      </c>
      <c r="G236" s="87" t="s">
        <v>69</v>
      </c>
      <c r="H236" s="230">
        <v>0.03</v>
      </c>
      <c r="I236" s="86">
        <f t="shared" si="8"/>
        <v>60</v>
      </c>
    </row>
    <row r="237" spans="2:9" x14ac:dyDescent="0.2">
      <c r="B237" s="86">
        <v>5</v>
      </c>
      <c r="C237" s="86" t="s">
        <v>70</v>
      </c>
      <c r="D237" s="86"/>
      <c r="E237" s="86"/>
      <c r="F237" s="86">
        <v>60000</v>
      </c>
      <c r="G237" s="87" t="s">
        <v>69</v>
      </c>
      <c r="H237" s="230">
        <v>3.0000000000000001E-3</v>
      </c>
      <c r="I237" s="86">
        <f t="shared" si="8"/>
        <v>180</v>
      </c>
    </row>
    <row r="238" spans="2:9" x14ac:dyDescent="0.2">
      <c r="B238" s="86">
        <v>6</v>
      </c>
      <c r="C238" s="86" t="s">
        <v>240</v>
      </c>
      <c r="D238" s="86"/>
      <c r="E238" s="86"/>
      <c r="F238" s="86">
        <v>35000</v>
      </c>
      <c r="G238" s="87" t="s">
        <v>69</v>
      </c>
      <c r="H238" s="230">
        <v>3.0000000000000001E-3</v>
      </c>
      <c r="I238" s="86">
        <f t="shared" si="8"/>
        <v>105</v>
      </c>
    </row>
    <row r="239" spans="2:9" x14ac:dyDescent="0.2">
      <c r="B239" s="86">
        <v>7</v>
      </c>
      <c r="C239" s="86" t="s">
        <v>17</v>
      </c>
      <c r="D239" s="86"/>
      <c r="E239" s="86"/>
      <c r="F239" s="86">
        <v>2</v>
      </c>
      <c r="G239" s="87" t="s">
        <v>72</v>
      </c>
      <c r="H239" s="230">
        <v>0.5</v>
      </c>
      <c r="I239" s="86">
        <f t="shared" si="8"/>
        <v>1</v>
      </c>
    </row>
    <row r="240" spans="2:9" x14ac:dyDescent="0.2">
      <c r="B240" s="210"/>
      <c r="C240" s="210"/>
      <c r="D240" s="210"/>
      <c r="E240" s="210"/>
      <c r="F240" s="210"/>
      <c r="G240" s="211"/>
      <c r="H240" s="210"/>
      <c r="I240" s="212">
        <f>SUM(I233:I239)</f>
        <v>10196</v>
      </c>
    </row>
    <row r="241" spans="2:11" x14ac:dyDescent="0.2">
      <c r="G241" s="88"/>
    </row>
    <row r="242" spans="2:11" x14ac:dyDescent="0.2">
      <c r="C242" s="231" t="s">
        <v>382</v>
      </c>
      <c r="D242" s="231">
        <v>1000</v>
      </c>
      <c r="E242" s="86" t="s">
        <v>383</v>
      </c>
      <c r="G242" s="88"/>
    </row>
    <row r="243" spans="2:11" x14ac:dyDescent="0.2">
      <c r="B243" s="86"/>
      <c r="C243" s="86" t="s">
        <v>235</v>
      </c>
      <c r="D243" s="232">
        <v>4</v>
      </c>
      <c r="E243" s="213">
        <v>100000</v>
      </c>
      <c r="F243" s="86"/>
      <c r="G243" s="87"/>
      <c r="H243" s="86"/>
      <c r="I243" s="214">
        <f>+E243*D243</f>
        <v>400000</v>
      </c>
    </row>
    <row r="244" spans="2:11" x14ac:dyDescent="0.2">
      <c r="B244" s="86"/>
      <c r="C244" s="86" t="s">
        <v>243</v>
      </c>
      <c r="D244" s="232">
        <v>6</v>
      </c>
      <c r="E244" s="213">
        <v>100000</v>
      </c>
      <c r="F244" s="86"/>
      <c r="G244" s="87"/>
      <c r="H244" s="86"/>
      <c r="I244" s="214">
        <f>+D244*E244</f>
        <v>600000</v>
      </c>
    </row>
    <row r="245" spans="2:11" x14ac:dyDescent="0.2">
      <c r="B245" s="86"/>
      <c r="C245" s="86" t="s">
        <v>236</v>
      </c>
      <c r="D245" s="233">
        <v>1</v>
      </c>
      <c r="E245" s="213">
        <v>150000</v>
      </c>
      <c r="F245" s="86"/>
      <c r="G245" s="87"/>
      <c r="H245" s="86"/>
      <c r="I245" s="214">
        <f>+D245*E245</f>
        <v>150000</v>
      </c>
    </row>
    <row r="246" spans="2:11" x14ac:dyDescent="0.2">
      <c r="B246" s="86"/>
      <c r="C246" s="86" t="s">
        <v>237</v>
      </c>
      <c r="D246" s="232">
        <v>1</v>
      </c>
      <c r="E246" s="213">
        <v>100000</v>
      </c>
      <c r="F246" s="86"/>
      <c r="G246" s="87"/>
      <c r="H246" s="86"/>
      <c r="I246" s="214">
        <f>+D246*E246</f>
        <v>100000</v>
      </c>
    </row>
    <row r="247" spans="2:11" x14ac:dyDescent="0.2">
      <c r="B247" s="234"/>
      <c r="C247" s="234"/>
      <c r="D247" s="235"/>
      <c r="E247" s="215"/>
      <c r="F247" s="234"/>
      <c r="G247" s="236"/>
      <c r="H247" s="234"/>
      <c r="I247" s="237">
        <f>SUM(I243:I246)</f>
        <v>1250000</v>
      </c>
      <c r="K247" s="84"/>
    </row>
    <row r="248" spans="2:11" x14ac:dyDescent="0.2">
      <c r="B248" s="210"/>
      <c r="C248" s="210"/>
      <c r="D248" s="215"/>
      <c r="E248" s="225"/>
      <c r="F248" s="210"/>
      <c r="G248" s="211"/>
      <c r="H248" s="210"/>
      <c r="I248" s="216">
        <f>+I247/D242</f>
        <v>1250</v>
      </c>
    </row>
    <row r="249" spans="2:11" x14ac:dyDescent="0.2">
      <c r="G249" s="88"/>
    </row>
    <row r="250" spans="2:11" x14ac:dyDescent="0.2">
      <c r="B250" s="86"/>
      <c r="C250" s="86"/>
      <c r="D250" s="213"/>
      <c r="E250" s="92"/>
      <c r="F250" s="86"/>
      <c r="G250" s="87"/>
      <c r="H250" s="86"/>
      <c r="I250" s="93"/>
    </row>
    <row r="251" spans="2:11" x14ac:dyDescent="0.2">
      <c r="G251" s="88"/>
    </row>
    <row r="252" spans="2:11" x14ac:dyDescent="0.2">
      <c r="G252" s="88"/>
      <c r="H252" s="89" t="s">
        <v>88</v>
      </c>
      <c r="I252" s="217">
        <f>+I250+I248+I231+I240</f>
        <v>13796</v>
      </c>
    </row>
    <row r="253" spans="2:11" x14ac:dyDescent="0.2">
      <c r="G253" s="88"/>
    </row>
    <row r="254" spans="2:11" x14ac:dyDescent="0.2">
      <c r="G254" s="88"/>
      <c r="H254" s="95" t="s">
        <v>91</v>
      </c>
      <c r="I254" s="218">
        <f>+I252*0.3</f>
        <v>4138.8</v>
      </c>
    </row>
    <row r="255" spans="2:11" x14ac:dyDescent="0.2">
      <c r="G255" s="88"/>
      <c r="H255" s="95" t="s">
        <v>93</v>
      </c>
      <c r="I255" s="217">
        <f>+I252+I254</f>
        <v>17934.8</v>
      </c>
    </row>
    <row r="256" spans="2:11" x14ac:dyDescent="0.2">
      <c r="G256" s="88"/>
      <c r="H256" s="80" t="s">
        <v>95</v>
      </c>
      <c r="I256" s="84">
        <f>+I255*0.1</f>
        <v>1793.48</v>
      </c>
    </row>
    <row r="257" spans="2:15" x14ac:dyDescent="0.2">
      <c r="G257" s="88"/>
      <c r="H257" s="89" t="s">
        <v>96</v>
      </c>
      <c r="I257" s="216">
        <f>+I255+I256</f>
        <v>19728.28</v>
      </c>
    </row>
    <row r="258" spans="2:15" x14ac:dyDescent="0.2">
      <c r="K258" s="84"/>
    </row>
    <row r="259" spans="2:15" x14ac:dyDescent="0.2">
      <c r="I259" s="227"/>
      <c r="J259" s="84"/>
    </row>
    <row r="260" spans="2:15" x14ac:dyDescent="0.2">
      <c r="B260" s="448" t="s">
        <v>487</v>
      </c>
      <c r="C260" s="448"/>
      <c r="D260" s="448"/>
      <c r="E260" s="448"/>
      <c r="F260" s="448"/>
      <c r="G260" s="448"/>
      <c r="H260" s="448"/>
      <c r="I260" s="448"/>
    </row>
    <row r="261" spans="2:15" x14ac:dyDescent="0.2">
      <c r="G261" s="88"/>
    </row>
    <row r="262" spans="2:15" x14ac:dyDescent="0.2">
      <c r="F262" s="80" t="s">
        <v>56</v>
      </c>
      <c r="G262" s="88"/>
      <c r="H262" s="80" t="s">
        <v>57</v>
      </c>
      <c r="I262" s="80" t="s">
        <v>55</v>
      </c>
    </row>
    <row r="263" spans="2:15" x14ac:dyDescent="0.2">
      <c r="B263" s="86">
        <v>1</v>
      </c>
      <c r="C263" s="86" t="s">
        <v>228</v>
      </c>
      <c r="D263" s="86" t="s">
        <v>229</v>
      </c>
      <c r="E263" s="86"/>
      <c r="F263" s="86"/>
      <c r="G263" s="278" t="s">
        <v>60</v>
      </c>
      <c r="H263" s="86">
        <v>1</v>
      </c>
      <c r="I263" s="86">
        <v>500</v>
      </c>
    </row>
    <row r="264" spans="2:15" x14ac:dyDescent="0.2">
      <c r="B264" s="86">
        <v>2</v>
      </c>
      <c r="C264" s="86" t="s">
        <v>228</v>
      </c>
      <c r="D264" s="86" t="s">
        <v>230</v>
      </c>
      <c r="E264" s="86"/>
      <c r="F264" s="86"/>
      <c r="G264" s="278" t="s">
        <v>60</v>
      </c>
      <c r="H264" s="86">
        <v>1</v>
      </c>
      <c r="I264" s="86">
        <v>350</v>
      </c>
    </row>
    <row r="265" spans="2:15" x14ac:dyDescent="0.2">
      <c r="B265" s="86">
        <v>3</v>
      </c>
      <c r="C265" s="86" t="s">
        <v>231</v>
      </c>
      <c r="D265" s="86" t="s">
        <v>380</v>
      </c>
      <c r="E265" s="86"/>
      <c r="F265" s="86"/>
      <c r="G265" s="278" t="s">
        <v>60</v>
      </c>
      <c r="H265" s="86">
        <v>1</v>
      </c>
      <c r="I265" s="86">
        <v>1500</v>
      </c>
    </row>
    <row r="266" spans="2:15" x14ac:dyDescent="0.2">
      <c r="B266" s="86"/>
      <c r="C266" s="86"/>
      <c r="D266" s="86"/>
      <c r="E266" s="86"/>
      <c r="F266" s="86"/>
      <c r="G266" s="278" t="s">
        <v>60</v>
      </c>
      <c r="H266" s="86">
        <v>1</v>
      </c>
      <c r="I266" s="86">
        <f>+F266*1</f>
        <v>0</v>
      </c>
    </row>
    <row r="267" spans="2:15" x14ac:dyDescent="0.2">
      <c r="B267" s="210"/>
      <c r="C267" s="210"/>
      <c r="D267" s="210"/>
      <c r="E267" s="210"/>
      <c r="F267" s="210"/>
      <c r="G267" s="211"/>
      <c r="H267" s="210"/>
      <c r="I267" s="89">
        <f>+I263+I264+I265+I266</f>
        <v>2350</v>
      </c>
    </row>
    <row r="268" spans="2:15" x14ac:dyDescent="0.2">
      <c r="G268" s="88"/>
    </row>
    <row r="269" spans="2:15" x14ac:dyDescent="0.2">
      <c r="B269" s="220">
        <v>1</v>
      </c>
      <c r="C269" s="220" t="s">
        <v>185</v>
      </c>
      <c r="D269" s="220">
        <f>0.5/2</f>
        <v>0.25</v>
      </c>
      <c r="E269" s="221"/>
      <c r="F269" s="220">
        <v>800</v>
      </c>
      <c r="G269" s="222" t="s">
        <v>69</v>
      </c>
      <c r="H269" s="220"/>
      <c r="I269" s="223">
        <f t="shared" ref="I269:I280" si="9">+D269*F269</f>
        <v>200</v>
      </c>
    </row>
    <row r="270" spans="2:15" x14ac:dyDescent="0.2">
      <c r="B270" s="220">
        <v>2</v>
      </c>
      <c r="C270" s="220" t="s">
        <v>186</v>
      </c>
      <c r="D270" s="220">
        <f>0.15/2</f>
        <v>7.4999999999999997E-2</v>
      </c>
      <c r="E270" s="221"/>
      <c r="F270" s="220">
        <v>2500</v>
      </c>
      <c r="G270" s="222" t="s">
        <v>69</v>
      </c>
      <c r="H270" s="220"/>
      <c r="I270" s="223">
        <f t="shared" si="9"/>
        <v>187.5</v>
      </c>
      <c r="L270" s="96" t="s">
        <v>184</v>
      </c>
      <c r="M270" s="96"/>
      <c r="N270" s="96"/>
      <c r="O270" s="96"/>
    </row>
    <row r="271" spans="2:15" x14ac:dyDescent="0.2">
      <c r="B271" s="220">
        <v>3</v>
      </c>
      <c r="C271" s="220" t="s">
        <v>187</v>
      </c>
      <c r="D271" s="220">
        <f>0.2/2</f>
        <v>0.1</v>
      </c>
      <c r="E271" s="221"/>
      <c r="F271" s="220">
        <v>5000</v>
      </c>
      <c r="G271" s="222" t="s">
        <v>69</v>
      </c>
      <c r="H271" s="220"/>
      <c r="I271" s="223">
        <f t="shared" si="9"/>
        <v>500</v>
      </c>
      <c r="L271" s="96"/>
      <c r="M271" s="96"/>
      <c r="N271" s="96">
        <v>10</v>
      </c>
      <c r="O271" s="96">
        <v>0.44</v>
      </c>
    </row>
    <row r="272" spans="2:15" x14ac:dyDescent="0.2">
      <c r="B272" s="220">
        <v>4</v>
      </c>
      <c r="C272" s="220" t="s">
        <v>245</v>
      </c>
      <c r="D272" s="220">
        <f>0.5/2</f>
        <v>0.25</v>
      </c>
      <c r="E272" s="224"/>
      <c r="F272" s="220">
        <v>5000</v>
      </c>
      <c r="G272" s="222" t="s">
        <v>69</v>
      </c>
      <c r="H272" s="220"/>
      <c r="I272" s="223">
        <f t="shared" si="9"/>
        <v>1250</v>
      </c>
      <c r="L272" s="96" t="s">
        <v>185</v>
      </c>
      <c r="M272" s="96">
        <v>1.5</v>
      </c>
      <c r="N272" s="96">
        <v>1</v>
      </c>
      <c r="O272" s="96">
        <v>4.3999999999999997E-2</v>
      </c>
    </row>
    <row r="273" spans="2:15" x14ac:dyDescent="0.2">
      <c r="B273" s="220">
        <v>6</v>
      </c>
      <c r="C273" s="220" t="s">
        <v>247</v>
      </c>
      <c r="D273" s="220">
        <f>0.5/2</f>
        <v>0.25</v>
      </c>
      <c r="E273" s="221"/>
      <c r="F273" s="220">
        <v>6000</v>
      </c>
      <c r="G273" s="222" t="s">
        <v>69</v>
      </c>
      <c r="H273" s="220"/>
      <c r="I273" s="223">
        <f t="shared" si="9"/>
        <v>1500</v>
      </c>
      <c r="L273" s="96" t="s">
        <v>186</v>
      </c>
      <c r="M273" s="96">
        <v>0.7</v>
      </c>
      <c r="N273" s="96">
        <v>0.4</v>
      </c>
      <c r="O273" s="96">
        <v>1.7600000000000001E-2</v>
      </c>
    </row>
    <row r="274" spans="2:15" x14ac:dyDescent="0.2">
      <c r="B274" s="220">
        <v>7</v>
      </c>
      <c r="C274" s="220" t="s">
        <v>191</v>
      </c>
      <c r="D274" s="220">
        <f>0.6/2</f>
        <v>0.3</v>
      </c>
      <c r="E274" s="221"/>
      <c r="F274" s="220">
        <v>700</v>
      </c>
      <c r="G274" s="222" t="s">
        <v>69</v>
      </c>
      <c r="H274" s="220"/>
      <c r="I274" s="223">
        <f t="shared" si="9"/>
        <v>210</v>
      </c>
      <c r="L274" s="96" t="s">
        <v>187</v>
      </c>
      <c r="M274" s="96">
        <v>2</v>
      </c>
      <c r="N274" s="96">
        <v>1.6</v>
      </c>
      <c r="O274" s="96">
        <v>7.0400000000000004E-2</v>
      </c>
    </row>
    <row r="275" spans="2:15" x14ac:dyDescent="0.2">
      <c r="B275" s="220">
        <v>8</v>
      </c>
      <c r="C275" s="220" t="s">
        <v>248</v>
      </c>
      <c r="D275" s="220">
        <f>1/2</f>
        <v>0.5</v>
      </c>
      <c r="E275" s="221"/>
      <c r="F275" s="220">
        <v>2000</v>
      </c>
      <c r="G275" s="222" t="s">
        <v>69</v>
      </c>
      <c r="H275" s="220"/>
      <c r="I275" s="223">
        <f t="shared" si="9"/>
        <v>1000</v>
      </c>
      <c r="L275" s="96" t="s">
        <v>188</v>
      </c>
      <c r="M275" s="96"/>
      <c r="N275" s="96">
        <v>1.2</v>
      </c>
      <c r="O275" s="96">
        <v>5.28E-2</v>
      </c>
    </row>
    <row r="276" spans="2:15" x14ac:dyDescent="0.2">
      <c r="B276" s="220">
        <v>9</v>
      </c>
      <c r="C276" s="220" t="s">
        <v>246</v>
      </c>
      <c r="D276" s="220">
        <f>0.0352/2</f>
        <v>1.7600000000000001E-2</v>
      </c>
      <c r="E276" s="220"/>
      <c r="F276" s="220">
        <v>800</v>
      </c>
      <c r="G276" s="222" t="s">
        <v>69</v>
      </c>
      <c r="H276" s="220"/>
      <c r="I276" s="223">
        <f t="shared" si="9"/>
        <v>14.08</v>
      </c>
      <c r="L276" s="96" t="s">
        <v>189</v>
      </c>
      <c r="M276" s="96">
        <v>3.5</v>
      </c>
      <c r="N276" s="96">
        <v>1</v>
      </c>
      <c r="O276" s="96">
        <v>4.3999999999999997E-2</v>
      </c>
    </row>
    <row r="277" spans="2:15" x14ac:dyDescent="0.2">
      <c r="B277" s="86">
        <v>10</v>
      </c>
      <c r="C277" s="86" t="s">
        <v>113</v>
      </c>
      <c r="D277" s="86">
        <f>0.1056/2</f>
        <v>5.28E-2</v>
      </c>
      <c r="E277" s="86"/>
      <c r="F277" s="86">
        <v>3000</v>
      </c>
      <c r="G277" s="278" t="s">
        <v>69</v>
      </c>
      <c r="H277" s="86"/>
      <c r="I277" s="92">
        <f t="shared" si="9"/>
        <v>158.4</v>
      </c>
      <c r="L277" s="96" t="s">
        <v>190</v>
      </c>
      <c r="M277" s="96">
        <v>2</v>
      </c>
      <c r="N277" s="96">
        <v>1.5</v>
      </c>
      <c r="O277" s="96">
        <v>6.6000000000000003E-2</v>
      </c>
    </row>
    <row r="278" spans="2:15" x14ac:dyDescent="0.2">
      <c r="B278" s="86">
        <v>11</v>
      </c>
      <c r="C278" s="86" t="s">
        <v>109</v>
      </c>
      <c r="D278" s="86">
        <f>0.00968/2</f>
        <v>4.8399999999999997E-3</v>
      </c>
      <c r="E278" s="86"/>
      <c r="F278" s="86">
        <v>3000</v>
      </c>
      <c r="G278" s="278" t="s">
        <v>69</v>
      </c>
      <c r="H278" s="86"/>
      <c r="I278" s="92">
        <f t="shared" si="9"/>
        <v>14.52</v>
      </c>
      <c r="L278" s="96" t="s">
        <v>191</v>
      </c>
      <c r="M278" s="96">
        <v>2</v>
      </c>
      <c r="N278" s="96">
        <v>1.5</v>
      </c>
      <c r="O278" s="96">
        <v>6.6000000000000003E-2</v>
      </c>
    </row>
    <row r="279" spans="2:15" x14ac:dyDescent="0.2">
      <c r="B279" s="86">
        <v>12</v>
      </c>
      <c r="C279" s="86" t="s">
        <v>194</v>
      </c>
      <c r="D279" s="86">
        <f>0.0748/2</f>
        <v>3.7400000000000003E-2</v>
      </c>
      <c r="E279" s="86"/>
      <c r="F279" s="86">
        <v>10</v>
      </c>
      <c r="G279" s="278" t="s">
        <v>69</v>
      </c>
      <c r="H279" s="86"/>
      <c r="I279" s="92">
        <f t="shared" si="9"/>
        <v>0.374</v>
      </c>
      <c r="L279" s="96" t="s">
        <v>192</v>
      </c>
      <c r="M279" s="96">
        <v>1.5</v>
      </c>
      <c r="N279" s="96">
        <v>1</v>
      </c>
      <c r="O279" s="96">
        <v>4.3999999999999997E-2</v>
      </c>
    </row>
    <row r="280" spans="2:15" x14ac:dyDescent="0.2">
      <c r="B280" s="86">
        <v>17</v>
      </c>
      <c r="C280" s="86" t="s">
        <v>194</v>
      </c>
      <c r="D280" s="86"/>
      <c r="E280" s="86"/>
      <c r="F280" s="86"/>
      <c r="G280" s="278" t="s">
        <v>69</v>
      </c>
      <c r="H280" s="86"/>
      <c r="I280" s="92">
        <f t="shared" si="9"/>
        <v>0</v>
      </c>
      <c r="L280" s="96" t="s">
        <v>193</v>
      </c>
      <c r="M280" s="96">
        <v>0.8</v>
      </c>
      <c r="N280" s="96">
        <v>0.8</v>
      </c>
      <c r="O280" s="96">
        <v>3.5200000000000002E-2</v>
      </c>
    </row>
    <row r="281" spans="2:15" x14ac:dyDescent="0.2">
      <c r="B281" s="210"/>
      <c r="G281" s="88"/>
      <c r="I281" s="212">
        <f>SUM(I269:I280)</f>
        <v>5034.8739999999998</v>
      </c>
      <c r="L281" s="96" t="s">
        <v>113</v>
      </c>
      <c r="M281" s="96">
        <v>3.5</v>
      </c>
      <c r="N281" s="96">
        <v>2.4</v>
      </c>
      <c r="O281" s="96">
        <v>0.1056</v>
      </c>
    </row>
    <row r="282" spans="2:15" x14ac:dyDescent="0.2">
      <c r="G282" s="88"/>
      <c r="L282" s="96" t="s">
        <v>109</v>
      </c>
      <c r="M282" s="96">
        <v>0.27</v>
      </c>
      <c r="N282" s="96">
        <v>0.22</v>
      </c>
      <c r="O282" s="96">
        <v>9.6799999999999994E-3</v>
      </c>
    </row>
    <row r="283" spans="2:15" x14ac:dyDescent="0.2">
      <c r="B283" s="86"/>
      <c r="C283" s="86" t="s">
        <v>255</v>
      </c>
      <c r="D283" s="213" t="s">
        <v>202</v>
      </c>
      <c r="E283" s="213">
        <v>100000</v>
      </c>
      <c r="F283" s="86"/>
      <c r="G283" s="278"/>
      <c r="H283" s="86"/>
      <c r="I283" s="213"/>
      <c r="L283" s="96" t="s">
        <v>194</v>
      </c>
      <c r="M283" s="96">
        <v>3.1</v>
      </c>
      <c r="N283" s="96">
        <v>1.7</v>
      </c>
      <c r="O283" s="96">
        <v>7.4800000000000005E-2</v>
      </c>
    </row>
    <row r="284" spans="2:15" x14ac:dyDescent="0.2">
      <c r="B284" s="86"/>
      <c r="C284" s="86" t="s">
        <v>256</v>
      </c>
      <c r="D284" s="213"/>
      <c r="E284" s="213">
        <v>300000</v>
      </c>
      <c r="F284" s="86"/>
      <c r="G284" s="278"/>
      <c r="H284" s="86"/>
      <c r="I284" s="213"/>
      <c r="L284" s="96" t="s">
        <v>195</v>
      </c>
      <c r="M284" s="96">
        <v>1.4999999999999999E-2</v>
      </c>
      <c r="N284" s="96">
        <v>0.01</v>
      </c>
      <c r="O284" s="96">
        <v>4.4000000000000002E-4</v>
      </c>
    </row>
    <row r="285" spans="2:15" x14ac:dyDescent="0.2">
      <c r="B285" s="86"/>
      <c r="C285" s="86" t="s">
        <v>257</v>
      </c>
      <c r="D285" s="86"/>
      <c r="E285" s="213">
        <v>100000</v>
      </c>
      <c r="F285" s="86"/>
      <c r="G285" s="278"/>
      <c r="H285" s="86"/>
      <c r="I285" s="213"/>
      <c r="L285" s="96" t="s">
        <v>176</v>
      </c>
      <c r="M285" s="96">
        <v>0.35</v>
      </c>
      <c r="N285" s="96">
        <v>0.02</v>
      </c>
      <c r="O285" s="96">
        <v>8.8000000000000003E-4</v>
      </c>
    </row>
    <row r="286" spans="2:15" x14ac:dyDescent="0.2">
      <c r="B286" s="86"/>
      <c r="C286" s="86" t="s">
        <v>258</v>
      </c>
      <c r="D286" s="213"/>
      <c r="E286" s="213">
        <v>100000</v>
      </c>
      <c r="F286" s="86"/>
      <c r="G286" s="278"/>
      <c r="H286" s="86"/>
      <c r="I286" s="213"/>
      <c r="L286" s="96" t="s">
        <v>196</v>
      </c>
      <c r="M286" s="96"/>
      <c r="N286" s="96">
        <v>0.01</v>
      </c>
      <c r="O286" s="96">
        <v>4.4000000000000002E-4</v>
      </c>
    </row>
    <row r="287" spans="2:15" x14ac:dyDescent="0.2">
      <c r="B287" s="210"/>
      <c r="C287" s="210"/>
      <c r="D287" s="215"/>
      <c r="E287" s="225">
        <f>SUM(E283:E286)</f>
        <v>600000</v>
      </c>
      <c r="F287" s="210"/>
      <c r="G287" s="211"/>
      <c r="H287" s="210"/>
      <c r="I287" s="226">
        <f>+E287/240</f>
        <v>2500</v>
      </c>
      <c r="L287" s="96" t="s">
        <v>197</v>
      </c>
      <c r="M287" s="96">
        <v>9</v>
      </c>
      <c r="N287" s="96">
        <v>6</v>
      </c>
      <c r="O287" s="96">
        <v>0.26400000000000001</v>
      </c>
    </row>
    <row r="288" spans="2:15" x14ac:dyDescent="0.2">
      <c r="G288" s="88"/>
      <c r="L288" s="96" t="s">
        <v>194</v>
      </c>
      <c r="M288" s="96">
        <v>4.5</v>
      </c>
      <c r="N288" s="96">
        <v>3</v>
      </c>
      <c r="O288" s="96">
        <v>0.13200000000000001</v>
      </c>
    </row>
    <row r="289" spans="2:15" x14ac:dyDescent="0.2">
      <c r="B289" s="86"/>
      <c r="C289" s="86" t="s">
        <v>86</v>
      </c>
      <c r="D289" s="213">
        <v>70000000</v>
      </c>
      <c r="E289" s="92">
        <f>+D289/26</f>
        <v>2692307.6923076925</v>
      </c>
      <c r="F289" s="86">
        <f>+E289/2</f>
        <v>1346153.8461538462</v>
      </c>
      <c r="G289" s="278"/>
      <c r="H289" s="86"/>
      <c r="I289" s="93">
        <f>+E289/240</f>
        <v>11217.948717948719</v>
      </c>
      <c r="L289" s="96" t="s">
        <v>179</v>
      </c>
      <c r="M289" s="96">
        <v>33.1</v>
      </c>
      <c r="N289" s="96">
        <v>22</v>
      </c>
      <c r="O289" s="96">
        <v>0.96799999999999997</v>
      </c>
    </row>
    <row r="290" spans="2:15" x14ac:dyDescent="0.2">
      <c r="G290" s="88"/>
      <c r="L290" s="96" t="s">
        <v>198</v>
      </c>
      <c r="M290" s="96">
        <v>867</v>
      </c>
      <c r="N290" s="96"/>
      <c r="O290" s="96">
        <v>0</v>
      </c>
    </row>
    <row r="291" spans="2:15" x14ac:dyDescent="0.2">
      <c r="G291" s="88"/>
      <c r="H291" s="89" t="s">
        <v>88</v>
      </c>
      <c r="I291" s="217">
        <f>+I264+I281+I287+I289</f>
        <v>19102.822717948718</v>
      </c>
    </row>
    <row r="292" spans="2:15" x14ac:dyDescent="0.2">
      <c r="G292" s="88"/>
    </row>
    <row r="293" spans="2:15" x14ac:dyDescent="0.2">
      <c r="G293" s="88"/>
      <c r="H293" s="95" t="s">
        <v>91</v>
      </c>
      <c r="I293" s="218">
        <f>+I291*0.3</f>
        <v>5730.8468153846152</v>
      </c>
    </row>
    <row r="294" spans="2:15" x14ac:dyDescent="0.2">
      <c r="G294" s="88"/>
      <c r="H294" s="95" t="s">
        <v>93</v>
      </c>
      <c r="I294" s="217">
        <f>+I291+I293</f>
        <v>24833.669533333334</v>
      </c>
    </row>
    <row r="295" spans="2:15" x14ac:dyDescent="0.2">
      <c r="G295" s="88"/>
      <c r="H295" s="80" t="s">
        <v>95</v>
      </c>
      <c r="I295" s="84">
        <f>+I294*0.1</f>
        <v>2483.3669533333336</v>
      </c>
    </row>
    <row r="296" spans="2:15" x14ac:dyDescent="0.2">
      <c r="G296" s="88"/>
      <c r="H296" s="89" t="s">
        <v>96</v>
      </c>
      <c r="I296" s="216">
        <f>+I294+I295</f>
        <v>27317.036486666668</v>
      </c>
    </row>
    <row r="297" spans="2:15" x14ac:dyDescent="0.2">
      <c r="I297" s="91">
        <f>+I296*0.32</f>
        <v>8741.4516757333331</v>
      </c>
    </row>
    <row r="298" spans="2:15" x14ac:dyDescent="0.2">
      <c r="I298" s="227">
        <f>+I296+I297</f>
        <v>36058.488162399997</v>
      </c>
    </row>
  </sheetData>
  <mergeCells count="9">
    <mergeCell ref="B260:I260"/>
    <mergeCell ref="K2:R2"/>
    <mergeCell ref="B141:I141"/>
    <mergeCell ref="C199:D199"/>
    <mergeCell ref="B181:I181"/>
    <mergeCell ref="B224:I224"/>
    <mergeCell ref="B2:I2"/>
    <mergeCell ref="B47:I47"/>
    <mergeCell ref="B93:I93"/>
  </mergeCells>
  <pageMargins left="0.7" right="0.7" top="0.75" bottom="0.75" header="0.3" footer="0.3"/>
  <pageSetup paperSize="9" scale="65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15430-8BA3-4F2F-A764-A4C6CB938F2A}">
  <sheetPr>
    <pageSetUpPr fitToPage="1"/>
  </sheetPr>
  <dimension ref="A1:R223"/>
  <sheetViews>
    <sheetView topLeftCell="A35" zoomScale="90" zoomScaleNormal="90" workbookViewId="0">
      <selection activeCell="A37" sqref="A37:H74"/>
    </sheetView>
  </sheetViews>
  <sheetFormatPr defaultRowHeight="12.75" x14ac:dyDescent="0.2"/>
  <cols>
    <col min="1" max="1" width="3.28515625" style="80" bestFit="1" customWidth="1"/>
    <col min="2" max="2" width="9.140625" style="80"/>
    <col min="3" max="3" width="17.42578125" style="80" bestFit="1" customWidth="1"/>
    <col min="4" max="4" width="13.85546875" style="80" bestFit="1" customWidth="1"/>
    <col min="5" max="5" width="12.28515625" style="80" bestFit="1" customWidth="1"/>
    <col min="6" max="6" width="3.7109375" style="80" bestFit="1" customWidth="1"/>
    <col min="7" max="7" width="20.28515625" style="80" bestFit="1" customWidth="1"/>
    <col min="8" max="8" width="24" style="80" bestFit="1" customWidth="1"/>
    <col min="9" max="9" width="13.85546875" style="80" bestFit="1" customWidth="1"/>
    <col min="10" max="10" width="9.140625" style="80"/>
    <col min="11" max="11" width="9.28515625" style="80" bestFit="1" customWidth="1"/>
    <col min="12" max="12" width="12.42578125" style="80" bestFit="1" customWidth="1"/>
    <col min="13" max="13" width="15" style="80" bestFit="1" customWidth="1"/>
    <col min="14" max="16384" width="9.140625" style="80"/>
  </cols>
  <sheetData>
    <row r="1" spans="1:12" x14ac:dyDescent="0.2">
      <c r="A1" s="448" t="s">
        <v>200</v>
      </c>
      <c r="B1" s="448"/>
      <c r="C1" s="448"/>
      <c r="D1" s="448"/>
      <c r="E1" s="448"/>
      <c r="F1" s="448"/>
      <c r="G1" s="448"/>
      <c r="H1" s="448"/>
    </row>
    <row r="2" spans="1:12" x14ac:dyDescent="0.2">
      <c r="F2" s="88"/>
    </row>
    <row r="3" spans="1:12" x14ac:dyDescent="0.2">
      <c r="E3" s="80" t="s">
        <v>56</v>
      </c>
      <c r="F3" s="88"/>
      <c r="G3" s="80" t="s">
        <v>57</v>
      </c>
      <c r="H3" s="80" t="s">
        <v>55</v>
      </c>
    </row>
    <row r="4" spans="1:12" x14ac:dyDescent="0.2">
      <c r="A4" s="86">
        <v>1</v>
      </c>
      <c r="B4" s="86" t="s">
        <v>173</v>
      </c>
      <c r="C4" s="86"/>
      <c r="D4" s="86"/>
      <c r="E4" s="86">
        <v>620</v>
      </c>
      <c r="F4" s="87" t="s">
        <v>60</v>
      </c>
      <c r="G4" s="86"/>
      <c r="H4" s="86">
        <v>620</v>
      </c>
      <c r="K4" s="96" t="s">
        <v>174</v>
      </c>
      <c r="L4" s="96">
        <v>0.4</v>
      </c>
    </row>
    <row r="5" spans="1:12" x14ac:dyDescent="0.2">
      <c r="A5" s="86"/>
      <c r="B5" s="86"/>
      <c r="C5" s="86"/>
      <c r="D5" s="86"/>
      <c r="E5" s="86"/>
      <c r="F5" s="87"/>
      <c r="G5" s="86"/>
      <c r="H5" s="89">
        <v>620</v>
      </c>
      <c r="K5" s="96" t="s">
        <v>175</v>
      </c>
      <c r="L5" s="96">
        <v>8.0239520958083843E-2</v>
      </c>
    </row>
    <row r="6" spans="1:12" x14ac:dyDescent="0.2">
      <c r="F6" s="88"/>
      <c r="K6" s="96" t="s">
        <v>109</v>
      </c>
      <c r="L6" s="96">
        <v>6.4670658682634743E-3</v>
      </c>
    </row>
    <row r="7" spans="1:12" x14ac:dyDescent="0.2">
      <c r="A7" s="86">
        <v>1</v>
      </c>
      <c r="B7" s="86" t="s">
        <v>199</v>
      </c>
      <c r="C7" s="238">
        <v>0.38726114649681526</v>
      </c>
      <c r="D7" s="239"/>
      <c r="E7" s="86">
        <v>18421</v>
      </c>
      <c r="F7" s="87" t="s">
        <v>69</v>
      </c>
      <c r="G7" s="86"/>
      <c r="H7" s="92">
        <f>+E7*C7</f>
        <v>7133.7375796178339</v>
      </c>
      <c r="K7" s="96" t="s">
        <v>71</v>
      </c>
      <c r="L7" s="96">
        <v>3.832335329341318E-4</v>
      </c>
    </row>
    <row r="8" spans="1:12" x14ac:dyDescent="0.2">
      <c r="A8" s="86">
        <v>2</v>
      </c>
      <c r="B8" s="86" t="s">
        <v>175</v>
      </c>
      <c r="C8" s="238">
        <v>8.2292993630573241E-2</v>
      </c>
      <c r="D8" s="239"/>
      <c r="E8" s="86">
        <v>3000</v>
      </c>
      <c r="F8" s="87" t="s">
        <v>69</v>
      </c>
      <c r="G8" s="86"/>
      <c r="H8" s="92">
        <f t="shared" ref="H8:H14" si="0">+E8*C8</f>
        <v>246.87898089171972</v>
      </c>
      <c r="K8" s="96" t="s">
        <v>176</v>
      </c>
      <c r="L8" s="96">
        <v>4.7904191616766472E-4</v>
      </c>
    </row>
    <row r="9" spans="1:12" x14ac:dyDescent="0.2">
      <c r="A9" s="86">
        <v>4</v>
      </c>
      <c r="B9" s="86" t="s">
        <v>109</v>
      </c>
      <c r="C9" s="238">
        <v>6.6802547770700637E-3</v>
      </c>
      <c r="D9" s="239"/>
      <c r="E9" s="86">
        <v>3000</v>
      </c>
      <c r="F9" s="87" t="s">
        <v>69</v>
      </c>
      <c r="G9" s="86"/>
      <c r="H9" s="92">
        <f t="shared" si="0"/>
        <v>20.040764331210191</v>
      </c>
      <c r="K9" s="96" t="s">
        <v>177</v>
      </c>
      <c r="L9" s="96">
        <v>9.580838323353294E-2</v>
      </c>
    </row>
    <row r="10" spans="1:12" x14ac:dyDescent="0.2">
      <c r="A10" s="86">
        <v>5</v>
      </c>
      <c r="B10" s="86" t="s">
        <v>71</v>
      </c>
      <c r="C10" s="238">
        <v>2.4203821656050954E-4</v>
      </c>
      <c r="D10" s="240"/>
      <c r="E10" s="86">
        <v>30000</v>
      </c>
      <c r="F10" s="87" t="s">
        <v>72</v>
      </c>
      <c r="G10" s="86"/>
      <c r="H10" s="92">
        <f t="shared" si="0"/>
        <v>7.2611464968152868</v>
      </c>
      <c r="K10" s="96" t="s">
        <v>178</v>
      </c>
      <c r="L10" s="96">
        <v>0.244311377245509</v>
      </c>
    </row>
    <row r="11" spans="1:12" x14ac:dyDescent="0.2">
      <c r="A11" s="86">
        <v>6</v>
      </c>
      <c r="B11" s="86" t="s">
        <v>176</v>
      </c>
      <c r="C11" s="238">
        <v>2.4203821656050954E-4</v>
      </c>
      <c r="D11" s="240" t="s">
        <v>159</v>
      </c>
      <c r="E11" s="230">
        <v>350000</v>
      </c>
      <c r="F11" s="87" t="s">
        <v>69</v>
      </c>
      <c r="G11" s="86"/>
      <c r="H11" s="92">
        <f t="shared" si="0"/>
        <v>84.71337579617834</v>
      </c>
      <c r="K11" s="96" t="s">
        <v>177</v>
      </c>
      <c r="L11" s="96">
        <v>0.1221556886227545</v>
      </c>
    </row>
    <row r="12" spans="1:12" x14ac:dyDescent="0.2">
      <c r="A12" s="86">
        <v>7</v>
      </c>
      <c r="B12" s="86" t="s">
        <v>177</v>
      </c>
      <c r="C12" s="238">
        <v>9.6815286624203814E-2</v>
      </c>
      <c r="D12" s="239"/>
      <c r="E12" s="86">
        <v>10</v>
      </c>
      <c r="F12" s="87" t="s">
        <v>69</v>
      </c>
      <c r="G12" s="86"/>
      <c r="H12" s="92">
        <f t="shared" si="0"/>
        <v>0.96815286624203811</v>
      </c>
      <c r="K12" s="96" t="s">
        <v>179</v>
      </c>
      <c r="L12" s="96">
        <v>0.92215568862275454</v>
      </c>
    </row>
    <row r="13" spans="1:12" x14ac:dyDescent="0.2">
      <c r="A13" s="86">
        <v>8</v>
      </c>
      <c r="B13" s="86" t="s">
        <v>178</v>
      </c>
      <c r="C13" s="238">
        <v>0.27834394904458598</v>
      </c>
      <c r="D13" s="239"/>
      <c r="E13" s="86">
        <f>85000/25</f>
        <v>3400</v>
      </c>
      <c r="F13" s="87" t="s">
        <v>69</v>
      </c>
      <c r="G13" s="86"/>
      <c r="H13" s="92">
        <f t="shared" si="0"/>
        <v>946.3694267515923</v>
      </c>
      <c r="K13" s="96" t="s">
        <v>180</v>
      </c>
      <c r="L13" s="96">
        <v>25.005988023952099</v>
      </c>
    </row>
    <row r="14" spans="1:12" x14ac:dyDescent="0.2">
      <c r="A14" s="86">
        <v>9</v>
      </c>
      <c r="B14" s="86" t="s">
        <v>177</v>
      </c>
      <c r="C14" s="238">
        <v>0.13554140127388534</v>
      </c>
      <c r="D14" s="239"/>
      <c r="E14" s="86">
        <v>10</v>
      </c>
      <c r="F14" s="87" t="s">
        <v>69</v>
      </c>
      <c r="G14" s="86"/>
      <c r="H14" s="92">
        <f t="shared" si="0"/>
        <v>1.3554140127388534</v>
      </c>
    </row>
    <row r="15" spans="1:12" x14ac:dyDescent="0.2">
      <c r="A15" s="210"/>
      <c r="B15" s="210"/>
      <c r="C15" s="241"/>
      <c r="D15" s="210"/>
      <c r="E15" s="210"/>
      <c r="F15" s="211"/>
      <c r="G15" s="210"/>
      <c r="H15" s="212">
        <f>+H7+H8+H9+H10+H11+H12+H13+H14</f>
        <v>8441.3248407643296</v>
      </c>
    </row>
    <row r="16" spans="1:12" x14ac:dyDescent="0.2">
      <c r="F16" s="88"/>
    </row>
    <row r="17" spans="1:12" x14ac:dyDescent="0.2">
      <c r="F17" s="88"/>
    </row>
    <row r="18" spans="1:12" x14ac:dyDescent="0.2">
      <c r="A18" s="86"/>
      <c r="B18" s="86" t="s">
        <v>391</v>
      </c>
      <c r="C18" s="213">
        <v>1</v>
      </c>
      <c r="D18" s="213">
        <v>100000</v>
      </c>
      <c r="E18" s="86"/>
      <c r="F18" s="87"/>
      <c r="G18" s="86"/>
      <c r="H18" s="213">
        <f>+D18*C18</f>
        <v>100000</v>
      </c>
      <c r="K18" s="80">
        <v>14000</v>
      </c>
      <c r="L18" s="80">
        <v>0.76</v>
      </c>
    </row>
    <row r="19" spans="1:12" x14ac:dyDescent="0.2">
      <c r="A19" s="86"/>
      <c r="B19" s="86" t="s">
        <v>117</v>
      </c>
      <c r="C19" s="213">
        <v>1</v>
      </c>
      <c r="D19" s="213">
        <v>100000</v>
      </c>
      <c r="E19" s="86"/>
      <c r="F19" s="87"/>
      <c r="G19" s="86"/>
      <c r="H19" s="213">
        <f>+D19*C19</f>
        <v>100000</v>
      </c>
      <c r="K19" s="80">
        <f>+L19*K18/L18</f>
        <v>18421.052631578947</v>
      </c>
      <c r="L19" s="80">
        <v>1</v>
      </c>
    </row>
    <row r="20" spans="1:12" x14ac:dyDescent="0.2">
      <c r="A20" s="86"/>
      <c r="B20" s="86" t="s">
        <v>182</v>
      </c>
      <c r="C20" s="213">
        <v>3</v>
      </c>
      <c r="D20" s="213">
        <v>100000</v>
      </c>
      <c r="E20" s="86"/>
      <c r="F20" s="87"/>
      <c r="G20" s="86"/>
      <c r="H20" s="213">
        <f>+D20*C20</f>
        <v>300000</v>
      </c>
    </row>
    <row r="21" spans="1:12" x14ac:dyDescent="0.2">
      <c r="A21" s="86"/>
      <c r="B21" s="86" t="s">
        <v>119</v>
      </c>
      <c r="C21" s="213">
        <v>1</v>
      </c>
      <c r="D21" s="213">
        <v>100000</v>
      </c>
      <c r="E21" s="86"/>
      <c r="F21" s="87"/>
      <c r="G21" s="86"/>
      <c r="H21" s="213">
        <f>+D21*C21</f>
        <v>100000</v>
      </c>
    </row>
    <row r="22" spans="1:12" x14ac:dyDescent="0.2">
      <c r="A22" s="234"/>
      <c r="B22" s="234" t="s">
        <v>392</v>
      </c>
      <c r="C22" s="215">
        <v>400</v>
      </c>
      <c r="D22" s="215"/>
      <c r="E22" s="234"/>
      <c r="F22" s="236"/>
      <c r="G22" s="234"/>
      <c r="H22" s="215">
        <f>SUM(H18:H21)</f>
        <v>600000</v>
      </c>
    </row>
    <row r="23" spans="1:12" x14ac:dyDescent="0.2">
      <c r="A23" s="210"/>
      <c r="B23" s="210"/>
      <c r="C23" s="215"/>
      <c r="D23" s="210"/>
      <c r="E23" s="210"/>
      <c r="F23" s="211"/>
      <c r="G23" s="210"/>
      <c r="H23" s="226">
        <f>+H22/C22</f>
        <v>1500</v>
      </c>
    </row>
    <row r="24" spans="1:12" x14ac:dyDescent="0.2">
      <c r="C24" s="91"/>
      <c r="F24" s="88"/>
    </row>
    <row r="25" spans="1:12" x14ac:dyDescent="0.2">
      <c r="A25" s="86"/>
      <c r="B25" s="86" t="s">
        <v>86</v>
      </c>
      <c r="C25" s="213">
        <v>70000000</v>
      </c>
      <c r="D25" s="92">
        <f>+C25/26</f>
        <v>2692307.6923076925</v>
      </c>
      <c r="E25" s="86">
        <f>+D25/2</f>
        <v>1346153.8461538462</v>
      </c>
      <c r="F25" s="87"/>
      <c r="G25" s="86"/>
      <c r="H25" s="93">
        <v>3000</v>
      </c>
    </row>
    <row r="26" spans="1:12" x14ac:dyDescent="0.2">
      <c r="F26" s="88"/>
    </row>
    <row r="27" spans="1:12" x14ac:dyDescent="0.2">
      <c r="F27" s="88"/>
      <c r="G27" s="89" t="s">
        <v>88</v>
      </c>
      <c r="H27" s="217">
        <f>+H5+H15+H23+H25</f>
        <v>13561.32484076433</v>
      </c>
    </row>
    <row r="28" spans="1:12" x14ac:dyDescent="0.2">
      <c r="F28" s="88"/>
    </row>
    <row r="29" spans="1:12" x14ac:dyDescent="0.2">
      <c r="F29" s="88"/>
      <c r="G29" s="95" t="s">
        <v>201</v>
      </c>
      <c r="H29" s="218">
        <f>+H27*0.2</f>
        <v>2712.264968152866</v>
      </c>
    </row>
    <row r="30" spans="1:12" x14ac:dyDescent="0.2">
      <c r="F30" s="88"/>
      <c r="G30" s="95" t="s">
        <v>93</v>
      </c>
      <c r="H30" s="217">
        <f>+H27+H29</f>
        <v>16273.589808917195</v>
      </c>
    </row>
    <row r="31" spans="1:12" x14ac:dyDescent="0.2">
      <c r="F31" s="88"/>
      <c r="G31" s="80" t="s">
        <v>95</v>
      </c>
      <c r="H31" s="84">
        <f>+H30*0.1</f>
        <v>1627.3589808917195</v>
      </c>
    </row>
    <row r="32" spans="1:12" x14ac:dyDescent="0.2">
      <c r="F32" s="88"/>
      <c r="G32" s="89" t="s">
        <v>96</v>
      </c>
      <c r="H32" s="216">
        <f>+H30+H31</f>
        <v>17900.948789808914</v>
      </c>
    </row>
    <row r="33" spans="1:8" x14ac:dyDescent="0.2">
      <c r="H33" s="91">
        <f>+H32*0.32</f>
        <v>5728.3036127388523</v>
      </c>
    </row>
    <row r="34" spans="1:8" x14ac:dyDescent="0.2">
      <c r="H34" s="227">
        <f>+H32+H33</f>
        <v>23629.252402547765</v>
      </c>
    </row>
    <row r="37" spans="1:8" ht="15" x14ac:dyDescent="0.25">
      <c r="A37" s="445" t="s">
        <v>183</v>
      </c>
      <c r="B37" s="445"/>
      <c r="C37" s="445"/>
      <c r="D37" s="445"/>
      <c r="E37" s="445"/>
      <c r="F37" s="445"/>
      <c r="G37" s="445"/>
      <c r="H37" s="445"/>
    </row>
    <row r="38" spans="1:8" ht="15" x14ac:dyDescent="0.25">
      <c r="A38"/>
      <c r="B38"/>
      <c r="C38"/>
      <c r="D38"/>
      <c r="E38"/>
      <c r="F38" s="4"/>
      <c r="G38"/>
      <c r="H38"/>
    </row>
    <row r="39" spans="1:8" ht="15" x14ac:dyDescent="0.25">
      <c r="A39"/>
      <c r="B39"/>
      <c r="C39"/>
      <c r="D39"/>
      <c r="E39" t="s">
        <v>56</v>
      </c>
      <c r="F39" s="4"/>
      <c r="G39" t="s">
        <v>57</v>
      </c>
      <c r="H39" t="s">
        <v>55</v>
      </c>
    </row>
    <row r="40" spans="1:8" ht="15" x14ac:dyDescent="0.25">
      <c r="A40" s="2">
        <v>1</v>
      </c>
      <c r="B40" s="2" t="s">
        <v>173</v>
      </c>
      <c r="C40" s="2"/>
      <c r="D40" s="2"/>
      <c r="E40" s="2">
        <v>620</v>
      </c>
      <c r="F40" s="5" t="s">
        <v>60</v>
      </c>
      <c r="G40" s="2"/>
      <c r="H40" s="2">
        <v>620</v>
      </c>
    </row>
    <row r="41" spans="1:8" ht="15" x14ac:dyDescent="0.25">
      <c r="A41" s="2"/>
      <c r="B41" s="2"/>
      <c r="C41" s="2"/>
      <c r="D41" s="2"/>
      <c r="E41" s="2"/>
      <c r="F41" s="5"/>
      <c r="G41" s="2"/>
      <c r="H41" s="2"/>
    </row>
    <row r="42" spans="1:8" ht="15" x14ac:dyDescent="0.25">
      <c r="A42" s="2"/>
      <c r="B42" s="2"/>
      <c r="C42" s="2"/>
      <c r="D42" s="2"/>
      <c r="E42" s="2"/>
      <c r="F42" s="5"/>
      <c r="G42" s="2"/>
      <c r="H42" s="2"/>
    </row>
    <row r="43" spans="1:8" ht="15" x14ac:dyDescent="0.25">
      <c r="A43" s="2"/>
      <c r="B43" s="2"/>
      <c r="C43" s="2"/>
      <c r="D43" s="2"/>
      <c r="E43" s="2"/>
      <c r="F43" s="5"/>
      <c r="G43" s="2"/>
      <c r="H43" s="2"/>
    </row>
    <row r="44" spans="1:8" ht="15" x14ac:dyDescent="0.25">
      <c r="A44" s="3"/>
      <c r="B44" s="3"/>
      <c r="C44" s="3"/>
      <c r="D44" s="3"/>
      <c r="E44" s="3"/>
      <c r="F44" s="6"/>
      <c r="G44" s="3"/>
      <c r="H44" s="7">
        <f>+H40+H41+H42+H43</f>
        <v>620</v>
      </c>
    </row>
    <row r="45" spans="1:8" ht="15" x14ac:dyDescent="0.25">
      <c r="A45"/>
      <c r="B45"/>
      <c r="C45"/>
      <c r="D45"/>
      <c r="E45"/>
      <c r="F45" s="4"/>
      <c r="G45"/>
      <c r="H45"/>
    </row>
    <row r="46" spans="1:8" ht="15" x14ac:dyDescent="0.25">
      <c r="A46" s="2">
        <v>1</v>
      </c>
      <c r="B46" s="2" t="s">
        <v>181</v>
      </c>
      <c r="C46" s="46">
        <v>0.38726114649681526</v>
      </c>
      <c r="D46" s="44"/>
      <c r="E46" s="2">
        <v>14285.71</v>
      </c>
      <c r="F46" s="5" t="s">
        <v>69</v>
      </c>
      <c r="G46" s="2"/>
      <c r="H46" s="13">
        <f t="shared" ref="H46:H53" si="1">+E46*C46</f>
        <v>5532.3004331210186</v>
      </c>
    </row>
    <row r="47" spans="1:8" ht="15" x14ac:dyDescent="0.25">
      <c r="A47" s="2">
        <v>2</v>
      </c>
      <c r="B47" s="2" t="s">
        <v>175</v>
      </c>
      <c r="C47" s="46">
        <v>8.2292993630573241E-2</v>
      </c>
      <c r="D47" s="44"/>
      <c r="E47" s="2">
        <v>3000</v>
      </c>
      <c r="F47" s="5" t="s">
        <v>69</v>
      </c>
      <c r="G47" s="2"/>
      <c r="H47" s="13">
        <f t="shared" si="1"/>
        <v>246.87898089171972</v>
      </c>
    </row>
    <row r="48" spans="1:8" ht="15" x14ac:dyDescent="0.25">
      <c r="A48" s="2">
        <v>4</v>
      </c>
      <c r="B48" s="2" t="s">
        <v>109</v>
      </c>
      <c r="C48" s="46">
        <v>6.6802547770700637E-3</v>
      </c>
      <c r="D48" s="44"/>
      <c r="E48" s="2">
        <v>3000</v>
      </c>
      <c r="F48" s="5" t="s">
        <v>69</v>
      </c>
      <c r="G48" s="2"/>
      <c r="H48" s="13">
        <f t="shared" si="1"/>
        <v>20.040764331210191</v>
      </c>
    </row>
    <row r="49" spans="1:8" ht="15" x14ac:dyDescent="0.25">
      <c r="A49" s="2">
        <v>5</v>
      </c>
      <c r="B49" s="2" t="s">
        <v>71</v>
      </c>
      <c r="C49" s="46">
        <v>2.4203821656050954E-4</v>
      </c>
      <c r="D49" s="45"/>
      <c r="E49" s="2">
        <v>30000</v>
      </c>
      <c r="F49" s="5" t="s">
        <v>72</v>
      </c>
      <c r="G49" s="2"/>
      <c r="H49" s="13">
        <f t="shared" si="1"/>
        <v>7.2611464968152868</v>
      </c>
    </row>
    <row r="50" spans="1:8" ht="15" x14ac:dyDescent="0.25">
      <c r="A50" s="2">
        <v>6</v>
      </c>
      <c r="B50" s="2" t="s">
        <v>176</v>
      </c>
      <c r="C50" s="46">
        <v>2.4203821656050954E-4</v>
      </c>
      <c r="D50" s="45" t="s">
        <v>159</v>
      </c>
      <c r="E50" s="26">
        <v>350000</v>
      </c>
      <c r="F50" s="5" t="s">
        <v>69</v>
      </c>
      <c r="G50" s="2"/>
      <c r="H50" s="13">
        <f t="shared" si="1"/>
        <v>84.71337579617834</v>
      </c>
    </row>
    <row r="51" spans="1:8" ht="15" x14ac:dyDescent="0.25">
      <c r="A51" s="2">
        <v>7</v>
      </c>
      <c r="B51" s="2" t="s">
        <v>177</v>
      </c>
      <c r="C51" s="46">
        <v>9.6815286624203814E-2</v>
      </c>
      <c r="D51" s="44"/>
      <c r="E51" s="2">
        <v>10</v>
      </c>
      <c r="F51" s="5" t="s">
        <v>69</v>
      </c>
      <c r="G51" s="2"/>
      <c r="H51" s="13">
        <f t="shared" si="1"/>
        <v>0.96815286624203811</v>
      </c>
    </row>
    <row r="52" spans="1:8" ht="15" x14ac:dyDescent="0.25">
      <c r="A52" s="2">
        <v>8</v>
      </c>
      <c r="B52" s="2" t="s">
        <v>178</v>
      </c>
      <c r="C52" s="46">
        <v>0.27834394904458598</v>
      </c>
      <c r="D52" s="44"/>
      <c r="E52" s="2">
        <f>85000/25</f>
        <v>3400</v>
      </c>
      <c r="F52" s="5" t="s">
        <v>69</v>
      </c>
      <c r="G52" s="2"/>
      <c r="H52" s="13">
        <f t="shared" si="1"/>
        <v>946.3694267515923</v>
      </c>
    </row>
    <row r="53" spans="1:8" ht="15" x14ac:dyDescent="0.25">
      <c r="A53" s="2">
        <v>9</v>
      </c>
      <c r="B53" s="2" t="s">
        <v>177</v>
      </c>
      <c r="C53" s="46">
        <v>0.13554140127388534</v>
      </c>
      <c r="D53" s="44"/>
      <c r="E53" s="2">
        <v>10</v>
      </c>
      <c r="F53" s="5" t="s">
        <v>69</v>
      </c>
      <c r="G53" s="2"/>
      <c r="H53" s="13">
        <f t="shared" si="1"/>
        <v>1.3554140127388534</v>
      </c>
    </row>
    <row r="54" spans="1:8" ht="15" x14ac:dyDescent="0.25">
      <c r="A54" s="3"/>
      <c r="B54" s="3"/>
      <c r="C54" s="47"/>
      <c r="D54" s="3"/>
      <c r="E54" s="3"/>
      <c r="F54" s="6"/>
      <c r="G54" s="3"/>
      <c r="H54" s="8">
        <f>+H46+H47+H48+H49+H50+H51+H52+H53</f>
        <v>6839.8876942675151</v>
      </c>
    </row>
    <row r="55" spans="1:8" ht="15" x14ac:dyDescent="0.25">
      <c r="A55"/>
      <c r="B55"/>
      <c r="C55"/>
      <c r="D55"/>
      <c r="E55"/>
      <c r="F55" s="4"/>
      <c r="G55"/>
      <c r="H55"/>
    </row>
    <row r="56" spans="1:8" ht="15" x14ac:dyDescent="0.25">
      <c r="A56"/>
      <c r="B56"/>
      <c r="C56"/>
      <c r="D56"/>
      <c r="E56"/>
      <c r="F56" s="4"/>
      <c r="G56"/>
      <c r="H56"/>
    </row>
    <row r="57" spans="1:8" ht="15" x14ac:dyDescent="0.25">
      <c r="A57" s="2"/>
      <c r="B57" s="2" t="s">
        <v>391</v>
      </c>
      <c r="C57" s="9">
        <v>1</v>
      </c>
      <c r="D57" s="9">
        <v>100000</v>
      </c>
      <c r="E57" s="2"/>
      <c r="F57" s="60"/>
      <c r="G57" s="2"/>
      <c r="H57" s="9">
        <f>+D57*C57</f>
        <v>100000</v>
      </c>
    </row>
    <row r="58" spans="1:8" ht="15" x14ac:dyDescent="0.25">
      <c r="A58" s="2"/>
      <c r="B58" s="2" t="s">
        <v>117</v>
      </c>
      <c r="C58" s="9">
        <v>1</v>
      </c>
      <c r="D58" s="9">
        <v>100000</v>
      </c>
      <c r="E58" s="2"/>
      <c r="F58" s="60"/>
      <c r="G58" s="2"/>
      <c r="H58" s="9">
        <f>+D58*C58</f>
        <v>100000</v>
      </c>
    </row>
    <row r="59" spans="1:8" ht="15" x14ac:dyDescent="0.25">
      <c r="A59" s="2"/>
      <c r="B59" s="2" t="s">
        <v>182</v>
      </c>
      <c r="C59" s="9">
        <v>3</v>
      </c>
      <c r="D59" s="9">
        <v>100000</v>
      </c>
      <c r="E59" s="2"/>
      <c r="F59" s="60"/>
      <c r="G59" s="2"/>
      <c r="H59" s="9">
        <f>+D59*C59</f>
        <v>300000</v>
      </c>
    </row>
    <row r="60" spans="1:8" ht="15" x14ac:dyDescent="0.25">
      <c r="A60" s="2"/>
      <c r="B60" s="2" t="s">
        <v>119</v>
      </c>
      <c r="C60" s="9">
        <v>1</v>
      </c>
      <c r="D60" s="9">
        <v>100000</v>
      </c>
      <c r="E60" s="2"/>
      <c r="F60" s="60"/>
      <c r="G60" s="2"/>
      <c r="H60" s="9">
        <f>+D60*C60</f>
        <v>100000</v>
      </c>
    </row>
    <row r="61" spans="1:8" ht="15" x14ac:dyDescent="0.25">
      <c r="A61" s="78"/>
      <c r="B61" s="78" t="s">
        <v>392</v>
      </c>
      <c r="C61" s="11">
        <v>400</v>
      </c>
      <c r="D61" s="11"/>
      <c r="E61" s="78"/>
      <c r="F61" s="79"/>
      <c r="G61" s="78"/>
      <c r="H61" s="11">
        <f>SUM(H57:H60)</f>
        <v>600000</v>
      </c>
    </row>
    <row r="62" spans="1:8" ht="15" x14ac:dyDescent="0.25">
      <c r="A62" s="3"/>
      <c r="B62" s="3"/>
      <c r="C62" s="11"/>
      <c r="D62" s="3"/>
      <c r="E62" s="3"/>
      <c r="F62" s="6"/>
      <c r="G62" s="3"/>
      <c r="H62" s="28">
        <f>+H61/C61</f>
        <v>1500</v>
      </c>
    </row>
    <row r="63" spans="1:8" ht="15" x14ac:dyDescent="0.25">
      <c r="A63"/>
      <c r="B63"/>
      <c r="C63"/>
      <c r="D63"/>
      <c r="E63"/>
      <c r="F63" s="4"/>
      <c r="G63"/>
      <c r="H63"/>
    </row>
    <row r="64" spans="1:8" ht="15" x14ac:dyDescent="0.25">
      <c r="A64"/>
      <c r="B64"/>
      <c r="C64"/>
      <c r="D64"/>
      <c r="E64"/>
      <c r="F64" s="4"/>
      <c r="G64"/>
      <c r="H64"/>
    </row>
    <row r="65" spans="1:18" ht="15" x14ac:dyDescent="0.25">
      <c r="A65" s="2"/>
      <c r="B65" s="2" t="s">
        <v>86</v>
      </c>
      <c r="C65" s="9">
        <v>70000000</v>
      </c>
      <c r="D65" s="13">
        <f>+C65/26</f>
        <v>2692307.6923076925</v>
      </c>
      <c r="E65" s="2">
        <f>+D65/2</f>
        <v>1346153.8461538462</v>
      </c>
      <c r="F65" s="5"/>
      <c r="G65" s="2"/>
      <c r="H65" s="14">
        <v>3000</v>
      </c>
    </row>
    <row r="66" spans="1:18" ht="15" x14ac:dyDescent="0.25">
      <c r="A66"/>
      <c r="B66"/>
      <c r="C66"/>
      <c r="D66"/>
      <c r="E66"/>
      <c r="F66" s="4"/>
      <c r="G66"/>
      <c r="H66"/>
    </row>
    <row r="67" spans="1:18" ht="15" x14ac:dyDescent="0.25">
      <c r="A67"/>
      <c r="B67"/>
      <c r="C67"/>
      <c r="D67"/>
      <c r="E67"/>
      <c r="F67" s="4"/>
      <c r="G67" s="7" t="s">
        <v>88</v>
      </c>
      <c r="H67" s="17">
        <f>+H44+H54+H62+H65</f>
        <v>11959.887694267516</v>
      </c>
    </row>
    <row r="68" spans="1:18" ht="15" x14ac:dyDescent="0.25">
      <c r="A68"/>
      <c r="B68"/>
      <c r="C68"/>
      <c r="D68"/>
      <c r="E68"/>
      <c r="F68" s="4"/>
      <c r="G68"/>
      <c r="H68"/>
    </row>
    <row r="69" spans="1:18" ht="15" x14ac:dyDescent="0.25">
      <c r="A69"/>
      <c r="B69"/>
      <c r="C69"/>
      <c r="D69"/>
      <c r="E69"/>
      <c r="F69" s="4"/>
      <c r="G69" s="15" t="s">
        <v>91</v>
      </c>
      <c r="H69" s="19">
        <f>+H67*0.3</f>
        <v>3587.9663082802549</v>
      </c>
    </row>
    <row r="70" spans="1:18" ht="15" x14ac:dyDescent="0.25">
      <c r="A70"/>
      <c r="B70"/>
      <c r="C70"/>
      <c r="D70"/>
      <c r="E70"/>
      <c r="F70" s="4"/>
      <c r="G70" s="15" t="s">
        <v>93</v>
      </c>
      <c r="H70" s="17">
        <f>+H67+H69</f>
        <v>15547.854002547771</v>
      </c>
    </row>
    <row r="71" spans="1:18" ht="15" x14ac:dyDescent="0.25">
      <c r="A71"/>
      <c r="B71"/>
      <c r="C71"/>
      <c r="D71"/>
      <c r="E71"/>
      <c r="F71" s="4"/>
      <c r="G71" t="s">
        <v>95</v>
      </c>
      <c r="H71" s="18">
        <f>+H70*0.1</f>
        <v>1554.7854002547772</v>
      </c>
    </row>
    <row r="72" spans="1:18" ht="15" x14ac:dyDescent="0.25">
      <c r="A72"/>
      <c r="B72"/>
      <c r="C72"/>
      <c r="D72"/>
      <c r="E72"/>
      <c r="F72" s="4"/>
      <c r="G72" s="7" t="s">
        <v>96</v>
      </c>
      <c r="H72" s="12">
        <f>+H70+H71</f>
        <v>17102.639402802546</v>
      </c>
    </row>
    <row r="73" spans="1:18" ht="15" x14ac:dyDescent="0.25">
      <c r="A73"/>
      <c r="B73"/>
      <c r="C73"/>
      <c r="D73"/>
      <c r="E73"/>
      <c r="F73"/>
      <c r="G73"/>
      <c r="H73" s="16">
        <f>+H72*0.32</f>
        <v>5472.8446088968149</v>
      </c>
    </row>
    <row r="74" spans="1:18" ht="15" x14ac:dyDescent="0.25">
      <c r="A74"/>
      <c r="B74"/>
      <c r="C74"/>
      <c r="D74"/>
      <c r="E74"/>
      <c r="F74"/>
      <c r="G74"/>
      <c r="H74" s="29">
        <f>+H72+H73</f>
        <v>22575.484011699362</v>
      </c>
    </row>
    <row r="75" spans="1:18" ht="15" x14ac:dyDescent="0.25">
      <c r="A75"/>
      <c r="B75"/>
      <c r="C75"/>
      <c r="D75"/>
      <c r="E75"/>
      <c r="F75"/>
      <c r="G75"/>
      <c r="H75" s="29"/>
    </row>
    <row r="76" spans="1:18" ht="15" x14ac:dyDescent="0.25">
      <c r="A76" s="457" t="s">
        <v>272</v>
      </c>
      <c r="B76" s="457"/>
      <c r="C76" s="457"/>
      <c r="D76" s="457"/>
      <c r="E76" s="457"/>
      <c r="F76" s="457"/>
      <c r="G76" s="457"/>
      <c r="H76" s="457"/>
    </row>
    <row r="77" spans="1:18" ht="15" x14ac:dyDescent="0.25">
      <c r="A77"/>
      <c r="B77"/>
      <c r="C77"/>
      <c r="D77"/>
      <c r="E77"/>
      <c r="F77" s="4"/>
      <c r="G77"/>
      <c r="H77"/>
    </row>
    <row r="78" spans="1:18" ht="15" x14ac:dyDescent="0.25">
      <c r="A78"/>
      <c r="B78"/>
      <c r="C78"/>
      <c r="D78"/>
      <c r="E78" t="s">
        <v>56</v>
      </c>
      <c r="F78" s="4"/>
      <c r="G78" t="s">
        <v>57</v>
      </c>
      <c r="H78" t="s">
        <v>55</v>
      </c>
    </row>
    <row r="79" spans="1:18" ht="15" x14ac:dyDescent="0.25">
      <c r="A79" s="2">
        <v>1</v>
      </c>
      <c r="B79" s="2" t="s">
        <v>173</v>
      </c>
      <c r="C79" s="2"/>
      <c r="D79" s="2"/>
      <c r="E79" s="2">
        <v>620</v>
      </c>
      <c r="F79" s="5" t="s">
        <v>60</v>
      </c>
      <c r="G79" s="2"/>
      <c r="H79" s="2">
        <v>620</v>
      </c>
      <c r="J79"/>
      <c r="K79"/>
      <c r="L79" s="49">
        <v>10</v>
      </c>
      <c r="M79" s="43">
        <v>0.44</v>
      </c>
      <c r="N79"/>
      <c r="O79"/>
      <c r="P79"/>
      <c r="Q79"/>
      <c r="R79"/>
    </row>
    <row r="80" spans="1:18" ht="15" x14ac:dyDescent="0.25">
      <c r="A80" s="2"/>
      <c r="B80" s="2"/>
      <c r="C80" s="2"/>
      <c r="D80" s="2"/>
      <c r="E80" s="2"/>
      <c r="F80" s="5"/>
      <c r="G80" s="2"/>
      <c r="H80" s="7">
        <v>620</v>
      </c>
      <c r="J80" s="454" t="s">
        <v>184</v>
      </c>
      <c r="K80" s="454"/>
      <c r="L80" s="454"/>
      <c r="M80" t="s">
        <v>270</v>
      </c>
      <c r="N80" t="s">
        <v>266</v>
      </c>
      <c r="O80" t="s">
        <v>271</v>
      </c>
      <c r="P80" t="s">
        <v>267</v>
      </c>
      <c r="Q80" t="s">
        <v>56</v>
      </c>
      <c r="R80" t="s">
        <v>55</v>
      </c>
    </row>
    <row r="81" spans="1:18" ht="15" x14ac:dyDescent="0.25">
      <c r="A81"/>
      <c r="B81"/>
      <c r="C81"/>
      <c r="D81"/>
      <c r="E81"/>
      <c r="F81" s="4"/>
      <c r="G81"/>
      <c r="H81"/>
      <c r="J81" s="22" t="s">
        <v>185</v>
      </c>
      <c r="K81" s="22">
        <v>1.5</v>
      </c>
      <c r="L81" s="50">
        <v>1</v>
      </c>
      <c r="M81" s="43">
        <f>+L81*M79/L79</f>
        <v>4.3999999999999997E-2</v>
      </c>
      <c r="N81" s="56">
        <v>20</v>
      </c>
      <c r="O81" s="57">
        <f t="shared" ref="O81:O99" si="2">+M81*N81/100</f>
        <v>8.7999999999999988E-3</v>
      </c>
      <c r="P81" s="57">
        <f t="shared" ref="P81:P99" si="3">+O81+M81</f>
        <v>5.28E-2</v>
      </c>
      <c r="Q81">
        <v>800</v>
      </c>
      <c r="R81" s="29">
        <f t="shared" ref="R81:R99" si="4">+Q81*P81</f>
        <v>42.24</v>
      </c>
    </row>
    <row r="82" spans="1:18" ht="15" x14ac:dyDescent="0.25">
      <c r="A82" s="2">
        <v>1</v>
      </c>
      <c r="B82" s="22" t="s">
        <v>185</v>
      </c>
      <c r="C82" s="46">
        <v>5.28E-2</v>
      </c>
      <c r="D82" s="44"/>
      <c r="E82" s="2">
        <v>800</v>
      </c>
      <c r="F82" s="58" t="s">
        <v>69</v>
      </c>
      <c r="G82" s="2"/>
      <c r="H82" s="9">
        <f t="shared" ref="H82:H98" si="5">+E82*C82</f>
        <v>42.24</v>
      </c>
      <c r="J82" s="22" t="s">
        <v>186</v>
      </c>
      <c r="K82" s="22">
        <v>0.7</v>
      </c>
      <c r="L82" s="50">
        <v>0.4</v>
      </c>
      <c r="M82" s="43">
        <f>+L82*M79/L79</f>
        <v>1.7600000000000001E-2</v>
      </c>
      <c r="N82">
        <v>10</v>
      </c>
      <c r="O82" s="57">
        <f t="shared" si="2"/>
        <v>1.7600000000000003E-3</v>
      </c>
      <c r="P82" s="57">
        <f t="shared" si="3"/>
        <v>1.9360000000000002E-2</v>
      </c>
      <c r="Q82">
        <v>2500</v>
      </c>
      <c r="R82" s="29">
        <f t="shared" si="4"/>
        <v>48.400000000000006</v>
      </c>
    </row>
    <row r="83" spans="1:18" ht="15" x14ac:dyDescent="0.25">
      <c r="A83" s="2">
        <v>2</v>
      </c>
      <c r="B83" s="22" t="s">
        <v>186</v>
      </c>
      <c r="C83" s="46">
        <v>1.9360000000000002E-2</v>
      </c>
      <c r="D83" s="44"/>
      <c r="E83" s="2">
        <v>2500</v>
      </c>
      <c r="F83" s="58" t="s">
        <v>69</v>
      </c>
      <c r="G83" s="2"/>
      <c r="H83" s="9">
        <f t="shared" si="5"/>
        <v>48.400000000000006</v>
      </c>
      <c r="J83" s="22" t="s">
        <v>187</v>
      </c>
      <c r="K83" s="22">
        <v>2</v>
      </c>
      <c r="L83" s="50">
        <v>1.6</v>
      </c>
      <c r="M83" s="43">
        <f>+L83*M79/L79</f>
        <v>7.0400000000000004E-2</v>
      </c>
      <c r="N83">
        <v>30</v>
      </c>
      <c r="O83" s="57">
        <f t="shared" si="2"/>
        <v>2.112E-2</v>
      </c>
      <c r="P83" s="57">
        <f t="shared" si="3"/>
        <v>9.1520000000000004E-2</v>
      </c>
      <c r="Q83">
        <v>5000</v>
      </c>
      <c r="R83" s="29">
        <f t="shared" si="4"/>
        <v>457.6</v>
      </c>
    </row>
    <row r="84" spans="1:18" ht="15" x14ac:dyDescent="0.25">
      <c r="A84" s="2">
        <v>3</v>
      </c>
      <c r="B84" s="22" t="s">
        <v>187</v>
      </c>
      <c r="C84" s="46">
        <v>9.1520000000000004E-2</v>
      </c>
      <c r="D84" s="44"/>
      <c r="E84" s="2">
        <v>5000</v>
      </c>
      <c r="F84" s="58" t="s">
        <v>69</v>
      </c>
      <c r="G84" s="2"/>
      <c r="H84" s="9">
        <f t="shared" si="5"/>
        <v>457.6</v>
      </c>
      <c r="J84" s="22" t="s">
        <v>269</v>
      </c>
      <c r="K84" s="22"/>
      <c r="L84" s="50">
        <v>1.2</v>
      </c>
      <c r="M84" s="43">
        <f>+L84*M79/L79</f>
        <v>5.28E-2</v>
      </c>
      <c r="N84">
        <v>50</v>
      </c>
      <c r="O84" s="57">
        <f t="shared" si="2"/>
        <v>2.64E-2</v>
      </c>
      <c r="P84" s="57">
        <f t="shared" si="3"/>
        <v>7.9199999999999993E-2</v>
      </c>
      <c r="Q84">
        <v>5000</v>
      </c>
      <c r="R84" s="29">
        <f t="shared" si="4"/>
        <v>395.99999999999994</v>
      </c>
    </row>
    <row r="85" spans="1:18" ht="15" x14ac:dyDescent="0.25">
      <c r="A85" s="2">
        <v>4</v>
      </c>
      <c r="B85" s="22" t="s">
        <v>269</v>
      </c>
      <c r="C85" s="46">
        <v>7.9199999999999993E-2</v>
      </c>
      <c r="D85" s="45"/>
      <c r="E85" s="2">
        <v>5000</v>
      </c>
      <c r="F85" s="58" t="s">
        <v>72</v>
      </c>
      <c r="G85" s="2"/>
      <c r="H85" s="9">
        <f t="shared" si="5"/>
        <v>395.99999999999994</v>
      </c>
      <c r="J85" s="22" t="s">
        <v>268</v>
      </c>
      <c r="K85" s="22">
        <v>3.5</v>
      </c>
      <c r="L85" s="50">
        <v>1</v>
      </c>
      <c r="M85" s="43">
        <f>+L85*M79/L79</f>
        <v>4.3999999999999997E-2</v>
      </c>
      <c r="N85">
        <v>50</v>
      </c>
      <c r="O85" s="57">
        <f t="shared" si="2"/>
        <v>2.1999999999999999E-2</v>
      </c>
      <c r="P85" s="57">
        <f t="shared" si="3"/>
        <v>6.6000000000000003E-2</v>
      </c>
      <c r="Q85">
        <v>6000</v>
      </c>
      <c r="R85" s="29">
        <f t="shared" si="4"/>
        <v>396</v>
      </c>
    </row>
    <row r="86" spans="1:18" ht="15" x14ac:dyDescent="0.25">
      <c r="A86" s="2">
        <v>5</v>
      </c>
      <c r="B86" s="22" t="s">
        <v>268</v>
      </c>
      <c r="C86" s="46">
        <v>6.6000000000000003E-2</v>
      </c>
      <c r="D86" s="45" t="s">
        <v>159</v>
      </c>
      <c r="E86" s="2">
        <v>6000</v>
      </c>
      <c r="F86" s="58" t="s">
        <v>69</v>
      </c>
      <c r="G86" s="2"/>
      <c r="H86" s="9">
        <f t="shared" si="5"/>
        <v>396</v>
      </c>
      <c r="J86" s="22" t="s">
        <v>190</v>
      </c>
      <c r="K86" s="22">
        <v>2</v>
      </c>
      <c r="L86" s="50">
        <v>1.5</v>
      </c>
      <c r="M86" s="43">
        <f>+L86*M79/L79</f>
        <v>6.6000000000000003E-2</v>
      </c>
      <c r="N86">
        <v>30</v>
      </c>
      <c r="O86" s="57">
        <f t="shared" si="2"/>
        <v>1.9799999999999998E-2</v>
      </c>
      <c r="P86" s="57">
        <f t="shared" si="3"/>
        <v>8.5800000000000001E-2</v>
      </c>
      <c r="Q86">
        <v>5000</v>
      </c>
      <c r="R86" s="29">
        <f t="shared" si="4"/>
        <v>429</v>
      </c>
    </row>
    <row r="87" spans="1:18" ht="15" x14ac:dyDescent="0.25">
      <c r="A87" s="2">
        <v>6</v>
      </c>
      <c r="B87" s="22" t="s">
        <v>190</v>
      </c>
      <c r="C87" s="46">
        <v>8.5800000000000001E-2</v>
      </c>
      <c r="D87" s="44"/>
      <c r="E87" s="2">
        <v>5000</v>
      </c>
      <c r="F87" s="58" t="s">
        <v>69</v>
      </c>
      <c r="G87" s="2"/>
      <c r="H87" s="9">
        <f t="shared" si="5"/>
        <v>429</v>
      </c>
      <c r="J87" s="22" t="s">
        <v>191</v>
      </c>
      <c r="K87" s="22">
        <v>2</v>
      </c>
      <c r="L87" s="50">
        <v>1.5</v>
      </c>
      <c r="M87" s="43">
        <f>+L87*M79/L79</f>
        <v>6.6000000000000003E-2</v>
      </c>
      <c r="N87">
        <v>10</v>
      </c>
      <c r="O87" s="57">
        <f t="shared" si="2"/>
        <v>6.6E-3</v>
      </c>
      <c r="P87" s="57">
        <f t="shared" si="3"/>
        <v>7.2599999999999998E-2</v>
      </c>
      <c r="Q87">
        <v>700</v>
      </c>
      <c r="R87" s="29">
        <f t="shared" si="4"/>
        <v>50.82</v>
      </c>
    </row>
    <row r="88" spans="1:18" ht="15" x14ac:dyDescent="0.25">
      <c r="A88" s="2">
        <v>7</v>
      </c>
      <c r="B88" s="22" t="s">
        <v>191</v>
      </c>
      <c r="C88" s="46">
        <v>7.2599999999999998E-2</v>
      </c>
      <c r="D88" s="44"/>
      <c r="E88" s="2">
        <v>700</v>
      </c>
      <c r="F88" s="58" t="s">
        <v>69</v>
      </c>
      <c r="G88" s="2"/>
      <c r="H88" s="9">
        <f t="shared" si="5"/>
        <v>50.82</v>
      </c>
      <c r="J88" s="22" t="s">
        <v>192</v>
      </c>
      <c r="K88" s="22">
        <v>1.5</v>
      </c>
      <c r="L88" s="50">
        <v>1</v>
      </c>
      <c r="M88" s="43">
        <f>+L88*M79/L79</f>
        <v>4.3999999999999997E-2</v>
      </c>
      <c r="N88">
        <v>20</v>
      </c>
      <c r="O88" s="57">
        <f t="shared" si="2"/>
        <v>8.7999999999999988E-3</v>
      </c>
      <c r="P88" s="57">
        <f t="shared" si="3"/>
        <v>5.28E-2</v>
      </c>
      <c r="Q88">
        <v>11000</v>
      </c>
      <c r="R88" s="29">
        <f t="shared" si="4"/>
        <v>580.79999999999995</v>
      </c>
    </row>
    <row r="89" spans="1:18" ht="15" x14ac:dyDescent="0.25">
      <c r="A89" s="2">
        <v>8</v>
      </c>
      <c r="B89" s="22" t="s">
        <v>192</v>
      </c>
      <c r="C89" s="46">
        <v>5.28E-2</v>
      </c>
      <c r="D89" s="44"/>
      <c r="E89" s="2">
        <v>11000</v>
      </c>
      <c r="F89" s="58" t="s">
        <v>69</v>
      </c>
      <c r="G89" s="2"/>
      <c r="H89" s="9">
        <f t="shared" si="5"/>
        <v>580.79999999999995</v>
      </c>
      <c r="J89" s="22" t="s">
        <v>193</v>
      </c>
      <c r="K89" s="22">
        <v>0.8</v>
      </c>
      <c r="L89" s="50">
        <v>0.8</v>
      </c>
      <c r="M89" s="43">
        <f>+L89*M79/L79</f>
        <v>3.5200000000000002E-2</v>
      </c>
      <c r="N89">
        <v>5</v>
      </c>
      <c r="O89" s="57">
        <f t="shared" si="2"/>
        <v>1.7600000000000003E-3</v>
      </c>
      <c r="P89" s="57">
        <f t="shared" si="3"/>
        <v>3.696E-2</v>
      </c>
      <c r="Q89">
        <v>700</v>
      </c>
      <c r="R89" s="29">
        <f t="shared" si="4"/>
        <v>25.872</v>
      </c>
    </row>
    <row r="90" spans="1:18" ht="15" x14ac:dyDescent="0.25">
      <c r="A90" s="2">
        <v>9</v>
      </c>
      <c r="B90" s="22" t="s">
        <v>193</v>
      </c>
      <c r="C90" s="46">
        <v>3.696E-2</v>
      </c>
      <c r="D90" s="3"/>
      <c r="E90" s="2">
        <v>700</v>
      </c>
      <c r="F90" s="6"/>
      <c r="G90" s="3"/>
      <c r="H90" s="9">
        <f t="shared" si="5"/>
        <v>25.872</v>
      </c>
      <c r="J90" s="51" t="s">
        <v>113</v>
      </c>
      <c r="K90" s="51">
        <v>3.5</v>
      </c>
      <c r="L90" s="52">
        <v>2.4</v>
      </c>
      <c r="M90" s="43">
        <f>+L90*M79/L79</f>
        <v>0.1056</v>
      </c>
      <c r="N90">
        <v>0.5</v>
      </c>
      <c r="O90" s="57">
        <f t="shared" si="2"/>
        <v>5.2800000000000004E-4</v>
      </c>
      <c r="P90" s="57">
        <f t="shared" si="3"/>
        <v>0.106128</v>
      </c>
      <c r="Q90">
        <v>3000</v>
      </c>
      <c r="R90" s="29">
        <f t="shared" si="4"/>
        <v>318.38400000000001</v>
      </c>
    </row>
    <row r="91" spans="1:18" ht="15" x14ac:dyDescent="0.25">
      <c r="A91" s="2">
        <v>10</v>
      </c>
      <c r="B91" s="51" t="s">
        <v>113</v>
      </c>
      <c r="C91" s="46">
        <v>0.106128</v>
      </c>
      <c r="D91" s="3"/>
      <c r="E91" s="2">
        <v>3000</v>
      </c>
      <c r="F91" s="6"/>
      <c r="G91" s="3"/>
      <c r="H91" s="9">
        <f t="shared" si="5"/>
        <v>318.38400000000001</v>
      </c>
      <c r="J91" s="21" t="s">
        <v>109</v>
      </c>
      <c r="K91" s="21">
        <v>0.27</v>
      </c>
      <c r="L91" s="53">
        <v>0.22</v>
      </c>
      <c r="M91" s="43">
        <f>+L91*M90/L90</f>
        <v>9.6799999999999994E-3</v>
      </c>
      <c r="N91">
        <v>0.5</v>
      </c>
      <c r="O91" s="57">
        <f t="shared" si="2"/>
        <v>4.8399999999999997E-5</v>
      </c>
      <c r="P91" s="57">
        <f t="shared" si="3"/>
        <v>9.7283999999999999E-3</v>
      </c>
      <c r="Q91">
        <v>3000</v>
      </c>
      <c r="R91" s="29">
        <f t="shared" si="4"/>
        <v>29.185199999999998</v>
      </c>
    </row>
    <row r="92" spans="1:18" ht="15" x14ac:dyDescent="0.25">
      <c r="A92" s="2">
        <v>11</v>
      </c>
      <c r="B92" s="21" t="s">
        <v>109</v>
      </c>
      <c r="C92" s="46">
        <v>9.7283999999999999E-3</v>
      </c>
      <c r="D92" s="3"/>
      <c r="E92" s="2">
        <v>3000</v>
      </c>
      <c r="F92" s="6"/>
      <c r="G92" s="3"/>
      <c r="H92" s="9">
        <f t="shared" si="5"/>
        <v>29.185199999999998</v>
      </c>
      <c r="J92" s="21" t="s">
        <v>194</v>
      </c>
      <c r="K92" s="21">
        <v>3.1</v>
      </c>
      <c r="L92" s="53">
        <v>1.7</v>
      </c>
      <c r="M92" s="43">
        <f>+L92*M79/L79</f>
        <v>7.4800000000000005E-2</v>
      </c>
      <c r="N92">
        <v>0.5</v>
      </c>
      <c r="O92" s="57">
        <f t="shared" si="2"/>
        <v>3.7400000000000004E-4</v>
      </c>
      <c r="P92" s="57">
        <f t="shared" si="3"/>
        <v>7.5174000000000005E-2</v>
      </c>
      <c r="Q92">
        <v>10</v>
      </c>
      <c r="R92" s="29">
        <f t="shared" si="4"/>
        <v>0.75174000000000007</v>
      </c>
    </row>
    <row r="93" spans="1:18" ht="15" x14ac:dyDescent="0.25">
      <c r="A93" s="2">
        <v>12</v>
      </c>
      <c r="B93" s="21" t="s">
        <v>194</v>
      </c>
      <c r="C93" s="46">
        <v>7.5174000000000005E-2</v>
      </c>
      <c r="D93" s="3"/>
      <c r="E93" s="2">
        <v>10</v>
      </c>
      <c r="F93" s="6"/>
      <c r="G93" s="3"/>
      <c r="H93" s="9">
        <f t="shared" si="5"/>
        <v>0.75174000000000007</v>
      </c>
      <c r="J93" s="21" t="s">
        <v>195</v>
      </c>
      <c r="K93" s="21">
        <v>1.4999999999999999E-2</v>
      </c>
      <c r="L93" s="53">
        <v>0.01</v>
      </c>
      <c r="M93" s="43">
        <f>+L93*M79/L79</f>
        <v>4.4000000000000002E-4</v>
      </c>
      <c r="N93">
        <v>0.5</v>
      </c>
      <c r="O93" s="57">
        <f t="shared" si="2"/>
        <v>2.2000000000000001E-6</v>
      </c>
      <c r="P93" s="57">
        <f t="shared" si="3"/>
        <v>4.4220000000000001E-4</v>
      </c>
      <c r="Q93">
        <v>35000</v>
      </c>
      <c r="R93" s="29">
        <f t="shared" si="4"/>
        <v>15.477</v>
      </c>
    </row>
    <row r="94" spans="1:18" ht="15" x14ac:dyDescent="0.25">
      <c r="A94" s="2">
        <v>13</v>
      </c>
      <c r="B94" s="21" t="s">
        <v>195</v>
      </c>
      <c r="C94" s="46">
        <v>4.4220000000000001E-4</v>
      </c>
      <c r="D94" s="3"/>
      <c r="E94" s="2">
        <v>35000</v>
      </c>
      <c r="F94" s="6"/>
      <c r="G94" s="3"/>
      <c r="H94" s="9">
        <f t="shared" si="5"/>
        <v>15.477</v>
      </c>
      <c r="J94" s="21" t="s">
        <v>176</v>
      </c>
      <c r="K94" s="21">
        <v>0.35</v>
      </c>
      <c r="L94" s="53">
        <v>0.02</v>
      </c>
      <c r="M94" s="43">
        <f>+L94*M79/L79</f>
        <v>8.8000000000000003E-4</v>
      </c>
      <c r="N94">
        <v>0.5</v>
      </c>
      <c r="O94" s="57">
        <f t="shared" si="2"/>
        <v>4.4000000000000002E-6</v>
      </c>
      <c r="P94" s="57">
        <f t="shared" si="3"/>
        <v>8.8440000000000003E-4</v>
      </c>
      <c r="Q94">
        <v>35000</v>
      </c>
      <c r="R94" s="29">
        <f t="shared" si="4"/>
        <v>30.954000000000001</v>
      </c>
    </row>
    <row r="95" spans="1:18" ht="15" x14ac:dyDescent="0.25">
      <c r="A95" s="2">
        <v>14</v>
      </c>
      <c r="B95" s="21" t="s">
        <v>176</v>
      </c>
      <c r="C95" s="46">
        <v>8.8440000000000003E-4</v>
      </c>
      <c r="D95" s="3"/>
      <c r="E95" s="2">
        <v>35000</v>
      </c>
      <c r="F95" s="6"/>
      <c r="G95" s="3"/>
      <c r="H95" s="9">
        <f t="shared" si="5"/>
        <v>30.954000000000001</v>
      </c>
      <c r="J95" s="21" t="s">
        <v>196</v>
      </c>
      <c r="K95" s="21"/>
      <c r="L95" s="53">
        <v>0.01</v>
      </c>
      <c r="M95" s="43">
        <f>+L95*M79/L79</f>
        <v>4.4000000000000002E-4</v>
      </c>
      <c r="N95">
        <v>0.5</v>
      </c>
      <c r="O95" s="57">
        <f t="shared" si="2"/>
        <v>2.2000000000000001E-6</v>
      </c>
      <c r="P95" s="57">
        <f t="shared" si="3"/>
        <v>4.4220000000000001E-4</v>
      </c>
      <c r="Q95">
        <v>45000</v>
      </c>
      <c r="R95" s="29">
        <f t="shared" si="4"/>
        <v>19.899000000000001</v>
      </c>
    </row>
    <row r="96" spans="1:18" ht="15" x14ac:dyDescent="0.25">
      <c r="A96" s="2">
        <v>15</v>
      </c>
      <c r="B96" s="21" t="s">
        <v>196</v>
      </c>
      <c r="C96" s="46">
        <v>4.4220000000000001E-4</v>
      </c>
      <c r="D96" s="3"/>
      <c r="E96" s="2">
        <v>45000</v>
      </c>
      <c r="F96" s="6"/>
      <c r="G96" s="3"/>
      <c r="H96" s="9">
        <f t="shared" si="5"/>
        <v>19.899000000000001</v>
      </c>
      <c r="J96" s="21" t="s">
        <v>197</v>
      </c>
      <c r="K96" s="21">
        <v>9</v>
      </c>
      <c r="L96" s="53">
        <v>6</v>
      </c>
      <c r="M96" s="43">
        <f>+L96*M79/L79</f>
        <v>0.26400000000000001</v>
      </c>
      <c r="N96">
        <v>0.5</v>
      </c>
      <c r="O96" s="57">
        <f t="shared" si="2"/>
        <v>1.32E-3</v>
      </c>
      <c r="P96" s="57">
        <f t="shared" si="3"/>
        <v>0.26532</v>
      </c>
      <c r="Q96">
        <v>3500</v>
      </c>
      <c r="R96" s="29">
        <f t="shared" si="4"/>
        <v>928.62</v>
      </c>
    </row>
    <row r="97" spans="1:18" ht="15" x14ac:dyDescent="0.25">
      <c r="A97" s="2">
        <v>16</v>
      </c>
      <c r="B97" s="21" t="s">
        <v>197</v>
      </c>
      <c r="C97" s="46">
        <v>0.26532</v>
      </c>
      <c r="D97" s="3"/>
      <c r="E97" s="2">
        <v>3500</v>
      </c>
      <c r="F97" s="6"/>
      <c r="G97" s="3"/>
      <c r="H97" s="9">
        <f t="shared" si="5"/>
        <v>928.62</v>
      </c>
      <c r="J97" s="21" t="s">
        <v>194</v>
      </c>
      <c r="K97" s="21">
        <v>4.5</v>
      </c>
      <c r="L97" s="53">
        <v>3</v>
      </c>
      <c r="M97" s="43">
        <f>+L97*M79/L79</f>
        <v>0.13200000000000001</v>
      </c>
      <c r="N97">
        <v>0.5</v>
      </c>
      <c r="O97" s="57">
        <f t="shared" si="2"/>
        <v>6.6E-4</v>
      </c>
      <c r="P97" s="57">
        <f t="shared" si="3"/>
        <v>0.13266</v>
      </c>
      <c r="Q97">
        <v>10</v>
      </c>
      <c r="R97" s="29">
        <f t="shared" si="4"/>
        <v>1.3266</v>
      </c>
    </row>
    <row r="98" spans="1:18" ht="15" x14ac:dyDescent="0.25">
      <c r="A98" s="2">
        <v>17</v>
      </c>
      <c r="B98" s="21" t="s">
        <v>194</v>
      </c>
      <c r="C98" s="46">
        <v>0.13266</v>
      </c>
      <c r="D98" s="3"/>
      <c r="E98" s="2">
        <v>10</v>
      </c>
      <c r="F98" s="6"/>
      <c r="G98" s="3"/>
      <c r="H98" s="9">
        <f t="shared" si="5"/>
        <v>1.3266</v>
      </c>
      <c r="J98" s="21" t="s">
        <v>179</v>
      </c>
      <c r="K98" s="21">
        <v>33.1</v>
      </c>
      <c r="L98" s="54">
        <v>22</v>
      </c>
      <c r="M98" s="43">
        <f>+L98*M79/L79</f>
        <v>0.96799999999999997</v>
      </c>
      <c r="N98">
        <v>0.5</v>
      </c>
      <c r="O98" s="57">
        <f t="shared" si="2"/>
        <v>4.8399999999999997E-3</v>
      </c>
      <c r="P98" s="57">
        <f t="shared" si="3"/>
        <v>0.97283999999999993</v>
      </c>
      <c r="Q98">
        <v>0</v>
      </c>
      <c r="R98" s="29">
        <f t="shared" si="4"/>
        <v>0</v>
      </c>
    </row>
    <row r="99" spans="1:18" ht="15" x14ac:dyDescent="0.25">
      <c r="A99"/>
      <c r="B99"/>
      <c r="C99"/>
      <c r="D99"/>
      <c r="E99"/>
      <c r="F99" s="4"/>
      <c r="G99"/>
      <c r="H99" s="59">
        <f>SUM(H82:H98)</f>
        <v>3771.3295399999993</v>
      </c>
      <c r="J99" s="21" t="s">
        <v>198</v>
      </c>
      <c r="K99" s="21">
        <v>867</v>
      </c>
      <c r="L99" s="55"/>
      <c r="M99" s="43">
        <f>+L99*M98/L98</f>
        <v>0</v>
      </c>
      <c r="N99"/>
      <c r="O99" s="57">
        <f t="shared" si="2"/>
        <v>0</v>
      </c>
      <c r="P99" s="57">
        <f t="shared" si="3"/>
        <v>0</v>
      </c>
      <c r="Q99"/>
      <c r="R99" s="29">
        <f t="shared" si="4"/>
        <v>0</v>
      </c>
    </row>
    <row r="100" spans="1:18" ht="15" x14ac:dyDescent="0.25">
      <c r="A100" s="2"/>
      <c r="B100" s="2" t="s">
        <v>391</v>
      </c>
      <c r="C100" s="9">
        <v>1</v>
      </c>
      <c r="D100" s="9">
        <v>100000</v>
      </c>
      <c r="E100" s="2"/>
      <c r="F100" s="60"/>
      <c r="G100" s="2"/>
      <c r="H100" s="9">
        <f>+D100*C100</f>
        <v>100000</v>
      </c>
    </row>
    <row r="101" spans="1:18" ht="15" x14ac:dyDescent="0.25">
      <c r="A101" s="2"/>
      <c r="B101" s="2" t="s">
        <v>117</v>
      </c>
      <c r="C101" s="9">
        <v>1</v>
      </c>
      <c r="D101" s="9">
        <v>100000</v>
      </c>
      <c r="E101" s="2"/>
      <c r="F101" s="60"/>
      <c r="G101" s="2"/>
      <c r="H101" s="9">
        <f>+D101*C101</f>
        <v>100000</v>
      </c>
    </row>
    <row r="102" spans="1:18" ht="15" x14ac:dyDescent="0.25">
      <c r="A102" s="2"/>
      <c r="B102" s="2" t="s">
        <v>182</v>
      </c>
      <c r="C102" s="9">
        <v>3</v>
      </c>
      <c r="D102" s="9">
        <v>100000</v>
      </c>
      <c r="E102" s="2"/>
      <c r="F102" s="60"/>
      <c r="G102" s="2"/>
      <c r="H102" s="9">
        <f>+D102*C102</f>
        <v>300000</v>
      </c>
    </row>
    <row r="103" spans="1:18" ht="15" x14ac:dyDescent="0.25">
      <c r="A103" s="2"/>
      <c r="B103" s="2" t="s">
        <v>119</v>
      </c>
      <c r="C103" s="9">
        <v>1</v>
      </c>
      <c r="D103" s="9">
        <v>100000</v>
      </c>
      <c r="E103" s="2"/>
      <c r="F103" s="60"/>
      <c r="G103" s="2"/>
      <c r="H103" s="9">
        <f>+D103*C103</f>
        <v>100000</v>
      </c>
    </row>
    <row r="104" spans="1:18" ht="15" x14ac:dyDescent="0.25">
      <c r="A104" s="78"/>
      <c r="B104" s="78" t="s">
        <v>392</v>
      </c>
      <c r="C104" s="11">
        <v>300</v>
      </c>
      <c r="D104" s="11"/>
      <c r="E104" s="78"/>
      <c r="F104" s="79"/>
      <c r="G104" s="78"/>
      <c r="H104" s="11">
        <f>SUM(H100:H103)</f>
        <v>600000</v>
      </c>
    </row>
    <row r="105" spans="1:18" ht="15" x14ac:dyDescent="0.25">
      <c r="A105" s="3"/>
      <c r="B105" s="3"/>
      <c r="C105" s="11"/>
      <c r="D105" s="3"/>
      <c r="E105" s="3"/>
      <c r="F105" s="6"/>
      <c r="G105" s="3"/>
      <c r="H105" s="28">
        <f>+H104/C104</f>
        <v>2000</v>
      </c>
    </row>
    <row r="106" spans="1:18" ht="15" x14ac:dyDescent="0.25">
      <c r="A106"/>
      <c r="B106"/>
      <c r="C106"/>
      <c r="D106"/>
      <c r="E106"/>
      <c r="F106" s="4"/>
      <c r="G106"/>
      <c r="H106"/>
    </row>
    <row r="107" spans="1:18" ht="15" x14ac:dyDescent="0.25">
      <c r="A107" s="2"/>
      <c r="B107" s="2" t="s">
        <v>86</v>
      </c>
      <c r="C107" s="9">
        <v>70000000</v>
      </c>
      <c r="D107" s="13">
        <f>+C107/26</f>
        <v>2692307.6923076925</v>
      </c>
      <c r="E107" s="2">
        <f>+D107/2</f>
        <v>1346153.8461538462</v>
      </c>
      <c r="F107" s="5"/>
      <c r="G107" s="2"/>
      <c r="H107" s="14">
        <f>+E107/250</f>
        <v>5384.6153846153848</v>
      </c>
    </row>
    <row r="108" spans="1:18" ht="15" x14ac:dyDescent="0.25">
      <c r="A108"/>
      <c r="B108"/>
      <c r="C108"/>
      <c r="D108"/>
      <c r="E108"/>
      <c r="F108" s="4"/>
      <c r="G108"/>
      <c r="H108"/>
    </row>
    <row r="109" spans="1:18" ht="15" x14ac:dyDescent="0.25">
      <c r="A109"/>
      <c r="B109"/>
      <c r="C109"/>
      <c r="D109"/>
      <c r="E109"/>
      <c r="F109" s="4"/>
      <c r="G109" s="7" t="s">
        <v>88</v>
      </c>
      <c r="H109" s="17">
        <f>+H107+H105+H99+H80</f>
        <v>11775.944924615384</v>
      </c>
    </row>
    <row r="110" spans="1:18" ht="15" x14ac:dyDescent="0.25">
      <c r="A110"/>
      <c r="B110"/>
      <c r="C110"/>
      <c r="D110"/>
      <c r="E110"/>
      <c r="F110" s="4"/>
      <c r="G110"/>
      <c r="H110"/>
    </row>
    <row r="111" spans="1:18" ht="15" x14ac:dyDescent="0.25">
      <c r="A111"/>
      <c r="B111"/>
      <c r="C111"/>
      <c r="D111"/>
      <c r="E111"/>
      <c r="F111" s="4"/>
      <c r="G111" s="15" t="s">
        <v>201</v>
      </c>
      <c r="H111" s="19">
        <f>+H109*0.2</f>
        <v>2355.188984923077</v>
      </c>
    </row>
    <row r="112" spans="1:18" ht="15" x14ac:dyDescent="0.25">
      <c r="A112"/>
      <c r="B112"/>
      <c r="C112"/>
      <c r="D112"/>
      <c r="E112"/>
      <c r="F112" s="4"/>
      <c r="G112" s="15" t="s">
        <v>93</v>
      </c>
      <c r="H112" s="17">
        <f>+H109+H111</f>
        <v>14131.133909538461</v>
      </c>
    </row>
    <row r="113" spans="1:14" ht="15" x14ac:dyDescent="0.25">
      <c r="A113"/>
      <c r="B113"/>
      <c r="C113"/>
      <c r="D113"/>
      <c r="E113"/>
      <c r="F113" s="4"/>
      <c r="G113" t="s">
        <v>95</v>
      </c>
      <c r="H113" s="18">
        <f>+H112*0.1</f>
        <v>1413.1133909538462</v>
      </c>
    </row>
    <row r="114" spans="1:14" ht="15" x14ac:dyDescent="0.25">
      <c r="A114"/>
      <c r="B114"/>
      <c r="C114"/>
      <c r="D114"/>
      <c r="E114"/>
      <c r="F114" s="4"/>
      <c r="G114" s="7" t="s">
        <v>96</v>
      </c>
      <c r="H114" s="12">
        <f>+H112+H113</f>
        <v>15544.247300492307</v>
      </c>
    </row>
    <row r="115" spans="1:14" ht="15" x14ac:dyDescent="0.25">
      <c r="A115"/>
      <c r="B115"/>
      <c r="C115"/>
      <c r="D115"/>
      <c r="E115"/>
      <c r="F115"/>
      <c r="G115"/>
      <c r="H115" s="16">
        <f>+H114*0.32</f>
        <v>4974.1591361575383</v>
      </c>
    </row>
    <row r="116" spans="1:14" ht="15" x14ac:dyDescent="0.25">
      <c r="A116"/>
      <c r="B116"/>
      <c r="C116"/>
      <c r="D116"/>
      <c r="E116"/>
      <c r="F116"/>
      <c r="G116"/>
      <c r="H116" s="29">
        <f>+H114+H115</f>
        <v>20518.406436649846</v>
      </c>
    </row>
    <row r="118" spans="1:14" ht="15" x14ac:dyDescent="0.25">
      <c r="A118" s="445" t="s">
        <v>120</v>
      </c>
      <c r="B118" s="445"/>
      <c r="C118" s="445"/>
      <c r="D118" s="445"/>
      <c r="E118" s="445"/>
      <c r="F118" s="445"/>
      <c r="G118" s="445"/>
      <c r="H118" s="445"/>
    </row>
    <row r="119" spans="1:14" ht="15" x14ac:dyDescent="0.25">
      <c r="A119"/>
      <c r="B119"/>
      <c r="C119"/>
      <c r="D119"/>
      <c r="E119" s="30"/>
      <c r="F119" s="31"/>
      <c r="G119" s="30"/>
      <c r="H119" s="30"/>
    </row>
    <row r="120" spans="1:14" ht="15" x14ac:dyDescent="0.25">
      <c r="A120"/>
      <c r="B120"/>
      <c r="C120"/>
      <c r="D120"/>
      <c r="E120" s="30" t="s">
        <v>56</v>
      </c>
      <c r="F120" s="31"/>
      <c r="G120" s="30" t="s">
        <v>57</v>
      </c>
      <c r="H120" s="30" t="s">
        <v>55</v>
      </c>
    </row>
    <row r="121" spans="1:14" ht="15" x14ac:dyDescent="0.25">
      <c r="A121" s="2">
        <v>1</v>
      </c>
      <c r="B121" s="2" t="s">
        <v>105</v>
      </c>
      <c r="C121" s="2" t="s">
        <v>59</v>
      </c>
      <c r="D121" s="2"/>
      <c r="E121" s="13">
        <v>1750</v>
      </c>
      <c r="F121" s="32" t="s">
        <v>60</v>
      </c>
      <c r="G121" s="13">
        <v>1</v>
      </c>
      <c r="H121" s="13">
        <f>+E121*G121</f>
        <v>1750</v>
      </c>
      <c r="J121" s="4"/>
      <c r="K121"/>
      <c r="L121"/>
      <c r="M121" t="s">
        <v>126</v>
      </c>
      <c r="N121"/>
    </row>
    <row r="122" spans="1:14" ht="15" x14ac:dyDescent="0.25">
      <c r="A122" s="2">
        <v>2</v>
      </c>
      <c r="B122" s="2" t="s">
        <v>106</v>
      </c>
      <c r="C122" s="2"/>
      <c r="D122" s="2" t="s">
        <v>97</v>
      </c>
      <c r="E122" s="13">
        <v>300</v>
      </c>
      <c r="F122" s="32" t="s">
        <v>60</v>
      </c>
      <c r="G122" s="13">
        <v>1</v>
      </c>
      <c r="H122" s="13">
        <f>+G122*E122</f>
        <v>300</v>
      </c>
      <c r="J122" s="5">
        <v>1</v>
      </c>
      <c r="K122" s="20" t="s">
        <v>107</v>
      </c>
      <c r="L122" s="21">
        <v>1000</v>
      </c>
      <c r="M122" s="23">
        <f>+M126*L122/L126</f>
        <v>313.60946745562131</v>
      </c>
      <c r="N122" s="23">
        <f>+N126*M122/M126</f>
        <v>177.51479289940829</v>
      </c>
    </row>
    <row r="123" spans="1:14" ht="15" x14ac:dyDescent="0.25">
      <c r="A123" s="2">
        <v>3</v>
      </c>
      <c r="B123" s="2" t="s">
        <v>127</v>
      </c>
      <c r="C123" s="2"/>
      <c r="D123" s="2"/>
      <c r="E123" s="13"/>
      <c r="F123" s="32"/>
      <c r="G123" s="13"/>
      <c r="H123" s="13">
        <f>600000/50000</f>
        <v>12</v>
      </c>
      <c r="J123" s="5">
        <v>2</v>
      </c>
      <c r="K123" s="20" t="s">
        <v>108</v>
      </c>
      <c r="L123" s="21">
        <v>100</v>
      </c>
      <c r="M123" s="23">
        <f>+M126*L123/L126</f>
        <v>31.360946745562131</v>
      </c>
      <c r="N123" s="23">
        <f>+N126*M123/M126</f>
        <v>17.751479289940828</v>
      </c>
    </row>
    <row r="124" spans="1:14" ht="15" x14ac:dyDescent="0.25">
      <c r="A124" s="2">
        <v>5</v>
      </c>
      <c r="B124" s="2"/>
      <c r="C124" s="2"/>
      <c r="D124" s="2"/>
      <c r="E124" s="13"/>
      <c r="F124" s="32"/>
      <c r="G124" s="13"/>
      <c r="H124" s="13"/>
      <c r="J124" s="5">
        <v>4</v>
      </c>
      <c r="K124" s="20" t="s">
        <v>109</v>
      </c>
      <c r="L124" s="21">
        <v>10</v>
      </c>
      <c r="M124" s="23">
        <f>+M126*L124/L126</f>
        <v>3.136094674556213</v>
      </c>
      <c r="N124" s="23">
        <f>+N126*M124/M126</f>
        <v>1.7751479289940828</v>
      </c>
    </row>
    <row r="125" spans="1:14" ht="15" x14ac:dyDescent="0.25">
      <c r="A125" s="3"/>
      <c r="B125" s="3"/>
      <c r="C125" s="3"/>
      <c r="D125" s="3"/>
      <c r="E125" s="33"/>
      <c r="F125" s="34"/>
      <c r="G125" s="33"/>
      <c r="H125" s="36">
        <f>+H121+H122+H123+H124</f>
        <v>2062</v>
      </c>
      <c r="J125" s="5">
        <v>5</v>
      </c>
      <c r="K125" s="20" t="s">
        <v>110</v>
      </c>
      <c r="L125" s="21">
        <v>580</v>
      </c>
      <c r="M125" s="23">
        <f>+M126*L125/L126</f>
        <v>181.89349112426035</v>
      </c>
      <c r="N125" s="23">
        <f>+N126*M125/M126</f>
        <v>102.9585798816568</v>
      </c>
    </row>
    <row r="126" spans="1:14" ht="15" x14ac:dyDescent="0.25">
      <c r="A126"/>
      <c r="B126"/>
      <c r="C126"/>
      <c r="D126"/>
      <c r="E126" s="30"/>
      <c r="F126" s="31"/>
      <c r="G126" s="30"/>
      <c r="H126" s="30"/>
      <c r="J126" s="5"/>
      <c r="K126" s="20"/>
      <c r="L126" s="22">
        <f>SUM(L122:L125)</f>
        <v>1690</v>
      </c>
      <c r="M126" s="24">
        <v>530</v>
      </c>
      <c r="N126" s="24">
        <v>300</v>
      </c>
    </row>
    <row r="127" spans="1:14" ht="15" x14ac:dyDescent="0.25">
      <c r="A127" s="2">
        <v>1</v>
      </c>
      <c r="B127" s="2" t="s">
        <v>121</v>
      </c>
      <c r="C127" s="2" t="s">
        <v>122</v>
      </c>
      <c r="D127" s="2"/>
      <c r="E127" s="13">
        <v>3500</v>
      </c>
      <c r="F127" s="32" t="s">
        <v>69</v>
      </c>
      <c r="G127" s="9">
        <v>0.33200000000000002</v>
      </c>
      <c r="H127" s="13">
        <f t="shared" ref="H127:H136" si="6">+G127*E127</f>
        <v>1162</v>
      </c>
      <c r="J127" s="5">
        <v>6</v>
      </c>
      <c r="K127" s="20" t="s">
        <v>111</v>
      </c>
      <c r="L127" s="21">
        <v>1000</v>
      </c>
      <c r="M127" s="23">
        <f>+M133*L127/L133</f>
        <v>411.81041181041184</v>
      </c>
      <c r="N127" s="23">
        <f>+N133*M127/M133</f>
        <v>233.10023310023311</v>
      </c>
    </row>
    <row r="128" spans="1:14" ht="15" x14ac:dyDescent="0.25">
      <c r="A128" s="2">
        <v>2</v>
      </c>
      <c r="B128" s="2" t="s">
        <v>108</v>
      </c>
      <c r="C128" s="2"/>
      <c r="D128" s="2"/>
      <c r="E128" s="13">
        <v>12000</v>
      </c>
      <c r="F128" s="32" t="s">
        <v>69</v>
      </c>
      <c r="G128" s="9">
        <v>3.5000000000000003E-2</v>
      </c>
      <c r="H128" s="13">
        <f t="shared" si="6"/>
        <v>420.00000000000006</v>
      </c>
      <c r="J128" s="5">
        <v>7</v>
      </c>
      <c r="K128" s="20" t="s">
        <v>112</v>
      </c>
      <c r="L128" s="21">
        <v>60</v>
      </c>
      <c r="M128" s="23">
        <f>+M133*L128/L133</f>
        <v>24.708624708624708</v>
      </c>
      <c r="N128" s="23">
        <f>+N133*M128/M133</f>
        <v>13.986013986013985</v>
      </c>
    </row>
    <row r="129" spans="1:14" ht="15" x14ac:dyDescent="0.25">
      <c r="A129" s="2">
        <v>4</v>
      </c>
      <c r="B129" s="2" t="s">
        <v>109</v>
      </c>
      <c r="C129" s="2"/>
      <c r="D129" s="2"/>
      <c r="E129" s="13">
        <v>2500</v>
      </c>
      <c r="F129" s="32" t="s">
        <v>69</v>
      </c>
      <c r="G129" s="9">
        <v>3.3E-3</v>
      </c>
      <c r="H129" s="13">
        <f t="shared" si="6"/>
        <v>8.25</v>
      </c>
      <c r="J129" s="5">
        <v>8</v>
      </c>
      <c r="K129" s="20" t="s">
        <v>113</v>
      </c>
      <c r="L129" s="21">
        <v>200</v>
      </c>
      <c r="M129" s="23">
        <f>+M133*L129/L133</f>
        <v>82.362082362082361</v>
      </c>
      <c r="N129" s="23">
        <f>+N133*M129/M133</f>
        <v>46.620046620046622</v>
      </c>
    </row>
    <row r="130" spans="1:14" ht="15" x14ac:dyDescent="0.25">
      <c r="A130" s="2">
        <v>5</v>
      </c>
      <c r="B130" s="2" t="s">
        <v>110</v>
      </c>
      <c r="C130" s="2"/>
      <c r="D130" s="2"/>
      <c r="E130" s="13">
        <v>10</v>
      </c>
      <c r="F130" s="32" t="s">
        <v>72</v>
      </c>
      <c r="G130" s="9">
        <v>0.189</v>
      </c>
      <c r="H130" s="13">
        <f t="shared" si="6"/>
        <v>1.8900000000000001</v>
      </c>
      <c r="J130" s="5">
        <v>9</v>
      </c>
      <c r="K130" s="20" t="s">
        <v>109</v>
      </c>
      <c r="L130" s="21">
        <v>23</v>
      </c>
      <c r="M130" s="23">
        <f>+M133*L130/L133</f>
        <v>9.4716394716394721</v>
      </c>
      <c r="N130" s="23">
        <f>+N133*M130/M133</f>
        <v>5.3613053613053614</v>
      </c>
    </row>
    <row r="131" spans="1:14" ht="15" x14ac:dyDescent="0.25">
      <c r="A131" s="2">
        <v>6</v>
      </c>
      <c r="B131" s="2" t="s">
        <v>111</v>
      </c>
      <c r="C131" s="2"/>
      <c r="D131" s="2"/>
      <c r="E131" s="27">
        <v>23684.21</v>
      </c>
      <c r="F131" s="32" t="s">
        <v>69</v>
      </c>
      <c r="G131" s="9">
        <v>0.36799999999999999</v>
      </c>
      <c r="H131" s="27">
        <f t="shared" si="6"/>
        <v>8715.7892799999991</v>
      </c>
      <c r="J131" s="5">
        <v>10</v>
      </c>
      <c r="K131" s="20" t="s">
        <v>114</v>
      </c>
      <c r="L131" s="21">
        <v>2</v>
      </c>
      <c r="M131" s="23">
        <f>+M133*L131/L133</f>
        <v>0.82362082362082367</v>
      </c>
      <c r="N131" s="23">
        <f>+N133*M131/M133</f>
        <v>0.46620046620046623</v>
      </c>
    </row>
    <row r="132" spans="1:14" ht="15" x14ac:dyDescent="0.25">
      <c r="A132" s="2">
        <v>7</v>
      </c>
      <c r="B132" s="2" t="s">
        <v>112</v>
      </c>
      <c r="C132" s="2" t="s">
        <v>123</v>
      </c>
      <c r="D132" s="25">
        <f>1000/60</f>
        <v>16.666666666666668</v>
      </c>
      <c r="E132" s="13">
        <f>300*17</f>
        <v>5100</v>
      </c>
      <c r="F132" s="32" t="s">
        <v>69</v>
      </c>
      <c r="G132" s="9">
        <v>2.5000000000000001E-2</v>
      </c>
      <c r="H132" s="13">
        <f t="shared" si="6"/>
        <v>127.5</v>
      </c>
      <c r="J132" s="5">
        <v>11</v>
      </c>
      <c r="K132" s="20" t="s">
        <v>115</v>
      </c>
      <c r="L132" s="21">
        <v>2</v>
      </c>
      <c r="M132" s="23">
        <f>+M133*L132/L133</f>
        <v>0.82362082362082367</v>
      </c>
      <c r="N132" s="23">
        <f>+N133*M132/M133</f>
        <v>0.46620046620046623</v>
      </c>
    </row>
    <row r="133" spans="1:14" ht="15" x14ac:dyDescent="0.25">
      <c r="A133" s="2">
        <v>8</v>
      </c>
      <c r="B133" s="2" t="s">
        <v>113</v>
      </c>
      <c r="C133" s="2"/>
      <c r="D133" s="2"/>
      <c r="E133" s="13">
        <v>3000</v>
      </c>
      <c r="F133" s="32" t="s">
        <v>69</v>
      </c>
      <c r="G133" s="9">
        <v>0.08</v>
      </c>
      <c r="H133" s="13">
        <f t="shared" si="6"/>
        <v>240</v>
      </c>
      <c r="J133" s="4"/>
      <c r="K133"/>
      <c r="L133" s="22">
        <f>SUM(L127:L132)</f>
        <v>1287</v>
      </c>
      <c r="M133" s="24">
        <v>530</v>
      </c>
      <c r="N133" s="24">
        <v>300</v>
      </c>
    </row>
    <row r="134" spans="1:14" ht="15" x14ac:dyDescent="0.25">
      <c r="A134" s="2">
        <v>9</v>
      </c>
      <c r="B134" s="2" t="s">
        <v>109</v>
      </c>
      <c r="C134" s="2"/>
      <c r="D134" s="2"/>
      <c r="E134" s="13">
        <v>3000</v>
      </c>
      <c r="F134" s="32" t="s">
        <v>69</v>
      </c>
      <c r="G134" s="9">
        <v>0.09</v>
      </c>
      <c r="H134" s="13">
        <f t="shared" si="6"/>
        <v>270</v>
      </c>
      <c r="J134" s="4"/>
      <c r="K134"/>
      <c r="L134"/>
      <c r="M134"/>
      <c r="N134"/>
    </row>
    <row r="135" spans="1:14" ht="15" x14ac:dyDescent="0.25">
      <c r="A135" s="2">
        <v>10</v>
      </c>
      <c r="B135" s="2" t="s">
        <v>114</v>
      </c>
      <c r="C135" s="2"/>
      <c r="D135" s="2"/>
      <c r="E135" s="13">
        <v>35000</v>
      </c>
      <c r="F135" s="32" t="s">
        <v>69</v>
      </c>
      <c r="G135" s="9">
        <v>1E-3</v>
      </c>
      <c r="H135" s="13">
        <f t="shared" si="6"/>
        <v>35</v>
      </c>
      <c r="J135" s="4"/>
      <c r="K135"/>
      <c r="L135"/>
      <c r="M135"/>
      <c r="N135"/>
    </row>
    <row r="136" spans="1:14" ht="15" x14ac:dyDescent="0.25">
      <c r="A136" s="2">
        <v>11</v>
      </c>
      <c r="B136" s="2" t="s">
        <v>115</v>
      </c>
      <c r="C136" s="2"/>
      <c r="D136" s="2"/>
      <c r="E136" s="13">
        <v>50000</v>
      </c>
      <c r="F136" s="32" t="s">
        <v>69</v>
      </c>
      <c r="G136" s="9">
        <v>1E-3</v>
      </c>
      <c r="H136" s="13">
        <f t="shared" si="6"/>
        <v>50</v>
      </c>
      <c r="J136" s="4"/>
      <c r="K136"/>
      <c r="L136"/>
      <c r="M136"/>
      <c r="N136"/>
    </row>
    <row r="137" spans="1:14" ht="15" x14ac:dyDescent="0.25">
      <c r="A137" s="3"/>
      <c r="B137" s="3"/>
      <c r="C137" s="3"/>
      <c r="D137" s="3"/>
      <c r="E137" s="33"/>
      <c r="F137" s="34"/>
      <c r="G137" s="33"/>
      <c r="H137" s="97">
        <f>+H127+H128+H129+H130+H131+H132+H133+H134</f>
        <v>10945.429279999998</v>
      </c>
      <c r="J137" s="4"/>
      <c r="K137" t="s">
        <v>124</v>
      </c>
      <c r="L137">
        <v>10000</v>
      </c>
      <c r="M137">
        <v>730</v>
      </c>
      <c r="N137"/>
    </row>
    <row r="138" spans="1:14" ht="15" x14ac:dyDescent="0.25">
      <c r="A138"/>
      <c r="B138"/>
      <c r="C138"/>
      <c r="D138"/>
      <c r="E138" s="30"/>
      <c r="F138" s="31"/>
      <c r="G138" s="30"/>
      <c r="H138" s="30"/>
      <c r="J138" s="4"/>
      <c r="K138" t="s">
        <v>125</v>
      </c>
      <c r="L138">
        <f>+M138*L137/M137</f>
        <v>13698.630136986301</v>
      </c>
      <c r="M138">
        <v>1000</v>
      </c>
      <c r="N138"/>
    </row>
    <row r="139" spans="1:14" ht="15" x14ac:dyDescent="0.25">
      <c r="A139"/>
      <c r="B139"/>
      <c r="C139"/>
      <c r="D139"/>
      <c r="E139" s="30"/>
      <c r="F139" s="31"/>
      <c r="G139" s="30"/>
      <c r="H139" s="30"/>
      <c r="J139" s="4"/>
      <c r="K139"/>
      <c r="L139"/>
      <c r="M139"/>
      <c r="N139"/>
    </row>
    <row r="140" spans="1:14" ht="15" x14ac:dyDescent="0.25">
      <c r="A140" s="2"/>
      <c r="B140" s="2" t="s">
        <v>116</v>
      </c>
      <c r="C140" s="9">
        <v>1</v>
      </c>
      <c r="D140" s="9">
        <v>100000</v>
      </c>
      <c r="E140" s="13"/>
      <c r="F140" s="32"/>
      <c r="G140" s="13"/>
      <c r="H140" s="13">
        <f>+D140*C140</f>
        <v>100000</v>
      </c>
      <c r="J140" s="4"/>
      <c r="K140"/>
      <c r="L140"/>
      <c r="M140"/>
      <c r="N140"/>
    </row>
    <row r="141" spans="1:14" ht="15" x14ac:dyDescent="0.25">
      <c r="A141" s="2"/>
      <c r="B141" s="2" t="s">
        <v>117</v>
      </c>
      <c r="C141" s="9">
        <v>1</v>
      </c>
      <c r="D141" s="9">
        <v>100000</v>
      </c>
      <c r="E141" s="13"/>
      <c r="F141" s="32"/>
      <c r="G141" s="13"/>
      <c r="H141" s="13">
        <f>+D141*C141</f>
        <v>100000</v>
      </c>
      <c r="J141" s="4"/>
      <c r="K141"/>
      <c r="L141">
        <v>12000</v>
      </c>
      <c r="M141">
        <v>730</v>
      </c>
      <c r="N141"/>
    </row>
    <row r="142" spans="1:14" ht="15" x14ac:dyDescent="0.25">
      <c r="A142" s="2"/>
      <c r="B142" s="2" t="s">
        <v>118</v>
      </c>
      <c r="C142" s="9">
        <v>1</v>
      </c>
      <c r="D142" s="9">
        <v>100000</v>
      </c>
      <c r="E142" s="13"/>
      <c r="F142" s="32"/>
      <c r="G142" s="13"/>
      <c r="H142" s="13">
        <f>+D142*C142</f>
        <v>100000</v>
      </c>
      <c r="J142" s="4"/>
      <c r="K142"/>
      <c r="L142">
        <f>+M142*L141/M141</f>
        <v>16438.35616438356</v>
      </c>
      <c r="M142">
        <v>1000</v>
      </c>
      <c r="N142"/>
    </row>
    <row r="143" spans="1:14" ht="15" x14ac:dyDescent="0.25">
      <c r="A143" s="2"/>
      <c r="B143" s="2" t="s">
        <v>119</v>
      </c>
      <c r="C143" s="9">
        <v>1</v>
      </c>
      <c r="D143" s="9">
        <v>100000</v>
      </c>
      <c r="E143" s="13"/>
      <c r="F143" s="32"/>
      <c r="G143" s="13"/>
      <c r="H143" s="13">
        <f>+D143*C143</f>
        <v>100000</v>
      </c>
    </row>
    <row r="144" spans="1:14" ht="15" x14ac:dyDescent="0.25">
      <c r="A144" s="78"/>
      <c r="B144" s="78"/>
      <c r="C144" s="11">
        <v>1000</v>
      </c>
      <c r="D144" s="11"/>
      <c r="E144" s="35"/>
      <c r="F144" s="100"/>
      <c r="G144" s="35"/>
      <c r="H144" s="35">
        <f>SUM(H140:H143)</f>
        <v>400000</v>
      </c>
    </row>
    <row r="145" spans="1:8" ht="15" x14ac:dyDescent="0.25">
      <c r="A145" s="3"/>
      <c r="B145" s="3"/>
      <c r="C145" s="11"/>
      <c r="D145" s="3"/>
      <c r="E145" s="33"/>
      <c r="F145" s="34"/>
      <c r="G145" s="33"/>
      <c r="H145" s="36">
        <f>+H144/C144*10</f>
        <v>4000</v>
      </c>
    </row>
    <row r="146" spans="1:8" ht="15" x14ac:dyDescent="0.25">
      <c r="A146"/>
      <c r="B146"/>
      <c r="C146"/>
      <c r="D146"/>
      <c r="E146" s="30"/>
      <c r="F146" s="31"/>
      <c r="G146" s="30"/>
      <c r="H146" s="30"/>
    </row>
    <row r="147" spans="1:8" ht="15" x14ac:dyDescent="0.25">
      <c r="A147" s="2"/>
      <c r="B147" s="2" t="s">
        <v>86</v>
      </c>
      <c r="C147" s="9">
        <v>70000000</v>
      </c>
      <c r="D147" s="13">
        <f>+C147/26</f>
        <v>2692307.6923076925</v>
      </c>
      <c r="E147" s="13"/>
      <c r="F147" s="32"/>
      <c r="G147" s="13"/>
      <c r="H147" s="14">
        <f>+D147/1000</f>
        <v>2692.3076923076924</v>
      </c>
    </row>
    <row r="148" spans="1:8" ht="15" x14ac:dyDescent="0.25">
      <c r="A148"/>
      <c r="B148"/>
      <c r="C148"/>
      <c r="D148"/>
      <c r="E148" s="30"/>
      <c r="F148" s="31"/>
      <c r="G148" s="30"/>
      <c r="H148" s="30"/>
    </row>
    <row r="149" spans="1:8" ht="15" x14ac:dyDescent="0.25">
      <c r="A149"/>
      <c r="B149"/>
      <c r="C149"/>
      <c r="D149"/>
      <c r="E149" s="30"/>
      <c r="F149" s="31"/>
      <c r="G149" s="36" t="s">
        <v>88</v>
      </c>
      <c r="H149" s="14">
        <f>+H125+H137+H145+H147</f>
        <v>19699.736972307688</v>
      </c>
    </row>
    <row r="150" spans="1:8" ht="15" x14ac:dyDescent="0.25">
      <c r="A150"/>
      <c r="B150"/>
      <c r="C150"/>
      <c r="D150"/>
      <c r="E150" s="30"/>
      <c r="F150" s="98"/>
      <c r="G150" s="99"/>
      <c r="H150" s="99"/>
    </row>
    <row r="151" spans="1:8" ht="15" x14ac:dyDescent="0.25">
      <c r="A151"/>
      <c r="B151"/>
      <c r="C151"/>
      <c r="D151"/>
      <c r="E151" s="30"/>
      <c r="F151" s="31"/>
      <c r="G151" s="14" t="s">
        <v>91</v>
      </c>
      <c r="H151" s="14">
        <f>+H149*0.3</f>
        <v>5909.9210916923066</v>
      </c>
    </row>
    <row r="152" spans="1:8" ht="15" x14ac:dyDescent="0.25">
      <c r="A152"/>
      <c r="B152"/>
      <c r="C152"/>
      <c r="D152"/>
      <c r="E152" s="30"/>
      <c r="F152" s="31"/>
      <c r="G152" s="14" t="s">
        <v>93</v>
      </c>
      <c r="H152" s="14">
        <f>+H149+H151</f>
        <v>25609.658063999996</v>
      </c>
    </row>
    <row r="153" spans="1:8" ht="15" x14ac:dyDescent="0.25">
      <c r="A153"/>
      <c r="B153"/>
      <c r="C153"/>
      <c r="D153"/>
      <c r="E153" s="30"/>
      <c r="F153" s="98"/>
      <c r="G153" s="99" t="s">
        <v>95</v>
      </c>
      <c r="H153" s="99">
        <f>+H152*0.1</f>
        <v>2560.9658063999996</v>
      </c>
    </row>
    <row r="154" spans="1:8" ht="15" x14ac:dyDescent="0.25">
      <c r="A154"/>
      <c r="B154"/>
      <c r="C154"/>
      <c r="D154"/>
      <c r="E154" s="30"/>
      <c r="F154" s="31"/>
      <c r="G154" s="36" t="s">
        <v>96</v>
      </c>
      <c r="H154" s="36">
        <f>+H152+H153</f>
        <v>28170.623870399995</v>
      </c>
    </row>
    <row r="155" spans="1:8" ht="15" x14ac:dyDescent="0.25">
      <c r="A155"/>
      <c r="B155"/>
      <c r="C155"/>
      <c r="D155"/>
      <c r="E155" s="30"/>
      <c r="F155" s="30"/>
      <c r="G155" s="30"/>
      <c r="H155" s="30">
        <f>+H154*0.24</f>
        <v>6760.9497288959983</v>
      </c>
    </row>
    <row r="156" spans="1:8" ht="15" x14ac:dyDescent="0.25">
      <c r="A156"/>
      <c r="B156"/>
      <c r="C156"/>
      <c r="D156"/>
      <c r="E156" s="30"/>
      <c r="F156" s="99"/>
      <c r="G156" s="99"/>
      <c r="H156" s="99">
        <f>+H154+H155</f>
        <v>34931.573599295996</v>
      </c>
    </row>
    <row r="159" spans="1:8" ht="15" x14ac:dyDescent="0.25">
      <c r="A159"/>
      <c r="B159"/>
      <c r="C159"/>
      <c r="D159"/>
      <c r="E159"/>
      <c r="F159"/>
      <c r="G159"/>
      <c r="H159"/>
    </row>
    <row r="160" spans="1:8" ht="15" x14ac:dyDescent="0.25">
      <c r="A160" s="445" t="s">
        <v>274</v>
      </c>
      <c r="B160" s="445"/>
      <c r="C160" s="445"/>
      <c r="D160" s="445"/>
      <c r="E160" s="445"/>
      <c r="F160" s="445"/>
      <c r="G160" s="445"/>
      <c r="H160" s="445"/>
    </row>
    <row r="161" spans="1:14" ht="15" x14ac:dyDescent="0.25">
      <c r="A161"/>
      <c r="B161"/>
      <c r="C161"/>
      <c r="D161"/>
      <c r="E161"/>
      <c r="F161" s="4"/>
      <c r="G161"/>
      <c r="H161"/>
    </row>
    <row r="162" spans="1:14" ht="15" x14ac:dyDescent="0.25">
      <c r="A162"/>
      <c r="B162"/>
      <c r="C162"/>
      <c r="D162"/>
      <c r="E162"/>
      <c r="F162" s="4"/>
      <c r="G162"/>
      <c r="H162"/>
    </row>
    <row r="163" spans="1:14" ht="15" x14ac:dyDescent="0.25">
      <c r="A163"/>
      <c r="B163"/>
      <c r="C163"/>
      <c r="D163"/>
      <c r="E163" t="s">
        <v>56</v>
      </c>
      <c r="F163" s="4"/>
      <c r="G163" t="s">
        <v>57</v>
      </c>
      <c r="H163" t="s">
        <v>55</v>
      </c>
    </row>
    <row r="164" spans="1:14" ht="15" x14ac:dyDescent="0.25">
      <c r="A164" s="2">
        <v>1</v>
      </c>
      <c r="B164" s="2" t="s">
        <v>173</v>
      </c>
      <c r="C164" s="2"/>
      <c r="D164" s="2"/>
      <c r="E164" s="2">
        <v>620</v>
      </c>
      <c r="F164" s="5" t="s">
        <v>60</v>
      </c>
      <c r="G164" s="2"/>
      <c r="H164" s="2">
        <v>620</v>
      </c>
      <c r="J164" t="s">
        <v>218</v>
      </c>
      <c r="K164">
        <v>25</v>
      </c>
      <c r="L164"/>
      <c r="M164">
        <f t="shared" ref="M164:M173" si="7">+K164/$K$175</f>
        <v>0.3125</v>
      </c>
      <c r="N164"/>
    </row>
    <row r="165" spans="1:14" ht="15" x14ac:dyDescent="0.25">
      <c r="A165" s="2"/>
      <c r="B165" s="2"/>
      <c r="C165" s="2"/>
      <c r="D165" s="2"/>
      <c r="E165" s="2"/>
      <c r="F165" s="5"/>
      <c r="G165" s="2"/>
      <c r="H165" s="7">
        <v>620</v>
      </c>
      <c r="J165" t="s">
        <v>219</v>
      </c>
      <c r="K165">
        <v>10</v>
      </c>
      <c r="L165"/>
      <c r="M165">
        <f t="shared" si="7"/>
        <v>0.125</v>
      </c>
      <c r="N165"/>
    </row>
    <row r="166" spans="1:14" ht="15" x14ac:dyDescent="0.25">
      <c r="A166"/>
      <c r="B166"/>
      <c r="C166"/>
      <c r="D166"/>
      <c r="E166"/>
      <c r="F166" s="4"/>
      <c r="G166"/>
      <c r="H166"/>
      <c r="J166" t="s">
        <v>220</v>
      </c>
      <c r="K166">
        <v>0.6</v>
      </c>
      <c r="L166"/>
      <c r="M166">
        <f t="shared" si="7"/>
        <v>7.4999999999999997E-3</v>
      </c>
      <c r="N166"/>
    </row>
    <row r="167" spans="1:14" ht="15" x14ac:dyDescent="0.25">
      <c r="A167" s="2">
        <v>1</v>
      </c>
      <c r="B167" s="2" t="s">
        <v>218</v>
      </c>
      <c r="C167" s="46">
        <v>0.3125</v>
      </c>
      <c r="D167" s="44"/>
      <c r="E167" s="2">
        <v>3500</v>
      </c>
      <c r="F167" s="5" t="s">
        <v>69</v>
      </c>
      <c r="G167" s="2"/>
      <c r="H167" s="13">
        <f t="shared" ref="H167:H176" si="8">+E167*C167</f>
        <v>1093.75</v>
      </c>
      <c r="J167" t="s">
        <v>221</v>
      </c>
      <c r="K167">
        <v>25</v>
      </c>
      <c r="L167">
        <v>5</v>
      </c>
      <c r="M167">
        <f t="shared" si="7"/>
        <v>0.3125</v>
      </c>
      <c r="N167"/>
    </row>
    <row r="168" spans="1:14" ht="15" x14ac:dyDescent="0.25">
      <c r="A168" s="2">
        <v>2</v>
      </c>
      <c r="B168" s="2" t="s">
        <v>219</v>
      </c>
      <c r="C168" s="46">
        <v>0.125</v>
      </c>
      <c r="D168" s="44"/>
      <c r="E168" s="2">
        <v>10</v>
      </c>
      <c r="F168" s="5" t="s">
        <v>69</v>
      </c>
      <c r="G168" s="2"/>
      <c r="H168" s="13">
        <f t="shared" si="8"/>
        <v>1.25</v>
      </c>
      <c r="J168" t="s">
        <v>222</v>
      </c>
      <c r="K168">
        <f>+L168*K167/L167</f>
        <v>7.5</v>
      </c>
      <c r="L168">
        <v>1.5</v>
      </c>
      <c r="M168">
        <f t="shared" si="7"/>
        <v>9.375E-2</v>
      </c>
      <c r="N168"/>
    </row>
    <row r="169" spans="1:14" ht="15" x14ac:dyDescent="0.25">
      <c r="A169" s="2">
        <v>3</v>
      </c>
      <c r="B169" s="2" t="s">
        <v>220</v>
      </c>
      <c r="C169" s="46">
        <v>7.4999999999999997E-3</v>
      </c>
      <c r="D169" s="44"/>
      <c r="E169" s="2">
        <v>10000</v>
      </c>
      <c r="F169" s="5" t="s">
        <v>69</v>
      </c>
      <c r="G169" s="2"/>
      <c r="H169" s="13">
        <f t="shared" si="8"/>
        <v>75</v>
      </c>
      <c r="J169" t="s">
        <v>219</v>
      </c>
      <c r="K169">
        <f>+L169*K167/L167</f>
        <v>2.5</v>
      </c>
      <c r="L169">
        <v>0.5</v>
      </c>
      <c r="M169">
        <f t="shared" si="7"/>
        <v>3.125E-2</v>
      </c>
      <c r="N169"/>
    </row>
    <row r="170" spans="1:14" ht="15" x14ac:dyDescent="0.25">
      <c r="A170" s="2">
        <v>4</v>
      </c>
      <c r="B170" s="2" t="s">
        <v>221</v>
      </c>
      <c r="C170" s="46">
        <v>0.3125</v>
      </c>
      <c r="D170" s="45"/>
      <c r="E170" s="2">
        <v>23684.21</v>
      </c>
      <c r="F170" s="5" t="s">
        <v>72</v>
      </c>
      <c r="G170" s="2"/>
      <c r="H170" s="13">
        <f t="shared" si="8"/>
        <v>7401.3156249999993</v>
      </c>
      <c r="J170" t="s">
        <v>226</v>
      </c>
      <c r="K170">
        <f>+L170*25/5</f>
        <v>2.5</v>
      </c>
      <c r="L170">
        <v>0.5</v>
      </c>
      <c r="M170">
        <f t="shared" si="7"/>
        <v>3.125E-2</v>
      </c>
      <c r="N170"/>
    </row>
    <row r="171" spans="1:14" ht="15" x14ac:dyDescent="0.25">
      <c r="A171" s="2">
        <v>5</v>
      </c>
      <c r="B171" s="2" t="s">
        <v>222</v>
      </c>
      <c r="C171" s="46">
        <v>9.375E-2</v>
      </c>
      <c r="D171" s="45" t="s">
        <v>159</v>
      </c>
      <c r="E171" s="26">
        <v>3500</v>
      </c>
      <c r="F171" s="5" t="s">
        <v>69</v>
      </c>
      <c r="G171" s="2"/>
      <c r="H171" s="13">
        <f t="shared" si="8"/>
        <v>328.125</v>
      </c>
      <c r="J171" t="s">
        <v>223</v>
      </c>
      <c r="K171">
        <f>+L171*25/5</f>
        <v>0.8</v>
      </c>
      <c r="L171">
        <v>0.16</v>
      </c>
      <c r="M171">
        <f t="shared" si="7"/>
        <v>0.01</v>
      </c>
      <c r="N171"/>
    </row>
    <row r="172" spans="1:14" ht="15" x14ac:dyDescent="0.25">
      <c r="A172" s="2">
        <v>6</v>
      </c>
      <c r="B172" s="2" t="s">
        <v>219</v>
      </c>
      <c r="C172" s="46">
        <v>3.125E-2</v>
      </c>
      <c r="D172" s="44"/>
      <c r="E172" s="2">
        <v>10</v>
      </c>
      <c r="F172" s="5" t="s">
        <v>69</v>
      </c>
      <c r="G172" s="2"/>
      <c r="H172" s="13">
        <f t="shared" si="8"/>
        <v>0.3125</v>
      </c>
      <c r="J172" t="s">
        <v>224</v>
      </c>
      <c r="K172">
        <f>+L172*25/5</f>
        <v>0.05</v>
      </c>
      <c r="L172">
        <v>0.01</v>
      </c>
      <c r="M172">
        <f t="shared" si="7"/>
        <v>6.2500000000000001E-4</v>
      </c>
      <c r="N172"/>
    </row>
    <row r="173" spans="1:14" ht="15" x14ac:dyDescent="0.25">
      <c r="A173" s="2">
        <v>7</v>
      </c>
      <c r="B173" s="2" t="s">
        <v>226</v>
      </c>
      <c r="C173" s="46">
        <v>3.125E-2</v>
      </c>
      <c r="D173" s="44"/>
      <c r="E173" s="2">
        <v>1100</v>
      </c>
      <c r="F173" s="5" t="s">
        <v>69</v>
      </c>
      <c r="G173" s="2"/>
      <c r="H173" s="13">
        <f t="shared" si="8"/>
        <v>34.375</v>
      </c>
      <c r="J173" t="s">
        <v>225</v>
      </c>
      <c r="K173">
        <f>+L173*25/5</f>
        <v>0.05</v>
      </c>
      <c r="L173">
        <v>0.01</v>
      </c>
      <c r="M173">
        <f t="shared" si="7"/>
        <v>6.2500000000000001E-4</v>
      </c>
      <c r="N173"/>
    </row>
    <row r="174" spans="1:14" ht="15" x14ac:dyDescent="0.25">
      <c r="A174" s="2">
        <v>8</v>
      </c>
      <c r="B174" s="2" t="s">
        <v>223</v>
      </c>
      <c r="C174" s="46">
        <v>0.01</v>
      </c>
      <c r="D174" s="44"/>
      <c r="E174" s="2">
        <v>3000</v>
      </c>
      <c r="F174" s="5" t="s">
        <v>69</v>
      </c>
      <c r="G174" s="2"/>
      <c r="H174" s="13">
        <f t="shared" si="8"/>
        <v>30</v>
      </c>
      <c r="J174"/>
      <c r="K174"/>
      <c r="L174"/>
      <c r="M174"/>
      <c r="N174"/>
    </row>
    <row r="175" spans="1:14" ht="15" x14ac:dyDescent="0.25">
      <c r="A175" s="2">
        <v>9</v>
      </c>
      <c r="B175" s="2" t="s">
        <v>224</v>
      </c>
      <c r="C175" s="46">
        <v>6.2500000000000001E-4</v>
      </c>
      <c r="D175" s="3"/>
      <c r="E175" s="3">
        <v>35000</v>
      </c>
      <c r="F175" s="6"/>
      <c r="G175" s="3"/>
      <c r="H175" s="13">
        <f t="shared" si="8"/>
        <v>21.875</v>
      </c>
      <c r="J175"/>
      <c r="K175">
        <f>72/0.9</f>
        <v>80</v>
      </c>
      <c r="L175"/>
      <c r="M175"/>
      <c r="N175"/>
    </row>
    <row r="176" spans="1:14" ht="15" x14ac:dyDescent="0.25">
      <c r="A176" s="2">
        <v>10</v>
      </c>
      <c r="B176" s="2" t="s">
        <v>225</v>
      </c>
      <c r="C176" s="2">
        <v>6.2500000000000001E-4</v>
      </c>
      <c r="D176"/>
      <c r="E176" s="3">
        <v>35000</v>
      </c>
      <c r="F176" s="4"/>
      <c r="G176"/>
      <c r="H176" s="13">
        <f t="shared" si="8"/>
        <v>21.875</v>
      </c>
      <c r="J176"/>
      <c r="K176"/>
      <c r="L176"/>
      <c r="M176"/>
      <c r="N176"/>
    </row>
    <row r="177" spans="1:14" ht="15" x14ac:dyDescent="0.25">
      <c r="A177"/>
      <c r="B177"/>
      <c r="C177"/>
      <c r="D177"/>
      <c r="E177"/>
      <c r="F177" s="4"/>
      <c r="G177"/>
      <c r="H177" s="12">
        <f>SUM(H167:H176)</f>
        <v>9007.8781249999993</v>
      </c>
      <c r="J177"/>
      <c r="K177" t="s">
        <v>273</v>
      </c>
      <c r="L177"/>
      <c r="M177">
        <v>0.06</v>
      </c>
      <c r="N177">
        <v>600</v>
      </c>
    </row>
    <row r="178" spans="1:14" ht="15" x14ac:dyDescent="0.25">
      <c r="A178" s="2"/>
      <c r="B178" s="2" t="s">
        <v>116</v>
      </c>
      <c r="C178" s="9">
        <v>1</v>
      </c>
      <c r="D178" s="9">
        <v>100000</v>
      </c>
      <c r="E178" s="2"/>
      <c r="F178" s="5"/>
      <c r="G178" s="2"/>
      <c r="H178" s="9">
        <f>+D178*C178</f>
        <v>100000</v>
      </c>
      <c r="J178"/>
      <c r="K178"/>
      <c r="L178"/>
      <c r="M178">
        <v>1</v>
      </c>
      <c r="N178">
        <f>+M178*N177/M177</f>
        <v>10000</v>
      </c>
    </row>
    <row r="179" spans="1:14" ht="15" x14ac:dyDescent="0.25">
      <c r="A179" s="2"/>
      <c r="B179" s="2" t="s">
        <v>117</v>
      </c>
      <c r="C179" s="9">
        <v>1</v>
      </c>
      <c r="D179" s="9">
        <v>100000</v>
      </c>
      <c r="E179" s="2"/>
      <c r="F179" s="5"/>
      <c r="G179" s="2"/>
      <c r="H179" s="9">
        <f>+D179*C179</f>
        <v>100000</v>
      </c>
      <c r="J179"/>
      <c r="K179"/>
      <c r="L179"/>
      <c r="M179"/>
      <c r="N179"/>
    </row>
    <row r="180" spans="1:14" ht="15" x14ac:dyDescent="0.25">
      <c r="A180" s="2"/>
      <c r="B180" s="2" t="s">
        <v>182</v>
      </c>
      <c r="C180" s="9">
        <v>1</v>
      </c>
      <c r="D180" s="9">
        <v>100000</v>
      </c>
      <c r="E180" s="2"/>
      <c r="F180" s="5"/>
      <c r="G180" s="2"/>
      <c r="H180" s="9">
        <f>+D180*C180</f>
        <v>100000</v>
      </c>
      <c r="J180"/>
      <c r="K180"/>
      <c r="L180"/>
      <c r="M180"/>
      <c r="N180"/>
    </row>
    <row r="181" spans="1:14" ht="15" x14ac:dyDescent="0.25">
      <c r="A181" s="2"/>
      <c r="B181" s="2" t="s">
        <v>119</v>
      </c>
      <c r="C181" s="9">
        <v>1</v>
      </c>
      <c r="D181" s="9">
        <v>100000</v>
      </c>
      <c r="E181" s="2"/>
      <c r="F181" s="5"/>
      <c r="G181" s="2"/>
      <c r="H181" s="9">
        <f>+D181*C181</f>
        <v>100000</v>
      </c>
      <c r="J181"/>
      <c r="K181">
        <v>55</v>
      </c>
      <c r="L181">
        <v>180</v>
      </c>
      <c r="M181"/>
      <c r="N181"/>
    </row>
    <row r="182" spans="1:14" ht="15" x14ac:dyDescent="0.25">
      <c r="A182" s="78"/>
      <c r="B182" s="78"/>
      <c r="C182" s="11">
        <v>400</v>
      </c>
      <c r="D182" s="11"/>
      <c r="E182" s="78"/>
      <c r="F182" s="79"/>
      <c r="G182" s="78"/>
      <c r="H182" s="11">
        <f>SUM(H178:H181)</f>
        <v>400000</v>
      </c>
      <c r="J182"/>
      <c r="K182">
        <v>25</v>
      </c>
      <c r="L182">
        <f>+K182*L181/K181*0.9</f>
        <v>73.63636363636364</v>
      </c>
      <c r="M182"/>
      <c r="N182"/>
    </row>
    <row r="183" spans="1:14" ht="15" x14ac:dyDescent="0.25">
      <c r="A183" s="3"/>
      <c r="B183" s="3"/>
      <c r="C183" s="11"/>
      <c r="D183" s="3"/>
      <c r="E183" s="3"/>
      <c r="F183" s="6"/>
      <c r="G183" s="3"/>
      <c r="H183" s="28">
        <f>+H182/C182</f>
        <v>1000</v>
      </c>
      <c r="J183"/>
      <c r="K183"/>
      <c r="L183"/>
      <c r="M183"/>
      <c r="N183"/>
    </row>
    <row r="184" spans="1:14" ht="15" x14ac:dyDescent="0.25">
      <c r="A184"/>
      <c r="B184"/>
      <c r="C184"/>
      <c r="D184"/>
      <c r="E184"/>
      <c r="F184" s="4"/>
      <c r="G184"/>
      <c r="H184"/>
      <c r="J184"/>
      <c r="K184"/>
      <c r="L184"/>
      <c r="M184"/>
      <c r="N184"/>
    </row>
    <row r="185" spans="1:14" ht="15" x14ac:dyDescent="0.25">
      <c r="A185" s="2"/>
      <c r="B185" s="2" t="s">
        <v>86</v>
      </c>
      <c r="C185" s="9">
        <v>70000000</v>
      </c>
      <c r="D185" s="13">
        <f>+C185/26</f>
        <v>2692307.6923076925</v>
      </c>
      <c r="E185" s="2">
        <f>+D185/2</f>
        <v>1346153.8461538462</v>
      </c>
      <c r="F185" s="5"/>
      <c r="G185" s="2"/>
      <c r="H185" s="14">
        <f>+E185/400</f>
        <v>3365.3846153846157</v>
      </c>
      <c r="J185"/>
      <c r="K185"/>
      <c r="L185"/>
      <c r="M185"/>
      <c r="N185"/>
    </row>
    <row r="186" spans="1:14" ht="15" x14ac:dyDescent="0.25">
      <c r="A186"/>
      <c r="B186"/>
      <c r="C186"/>
      <c r="D186"/>
      <c r="E186"/>
      <c r="F186" s="4"/>
      <c r="G186"/>
      <c r="H186"/>
      <c r="J186">
        <v>30</v>
      </c>
      <c r="K186">
        <v>26</v>
      </c>
      <c r="L186">
        <v>95</v>
      </c>
      <c r="M186"/>
      <c r="N186"/>
    </row>
    <row r="187" spans="1:14" ht="15" x14ac:dyDescent="0.25">
      <c r="A187"/>
      <c r="B187"/>
      <c r="C187"/>
      <c r="D187"/>
      <c r="E187"/>
      <c r="F187" s="4"/>
      <c r="G187" s="7" t="s">
        <v>88</v>
      </c>
      <c r="H187" s="17">
        <f>+H165+H177+H183+H185</f>
        <v>13993.262740384615</v>
      </c>
      <c r="J187">
        <v>30</v>
      </c>
      <c r="K187">
        <v>30</v>
      </c>
      <c r="L187">
        <v>98</v>
      </c>
      <c r="M187"/>
      <c r="N187"/>
    </row>
    <row r="188" spans="1:14" ht="15" x14ac:dyDescent="0.25">
      <c r="A188"/>
      <c r="B188"/>
      <c r="C188"/>
      <c r="D188"/>
      <c r="E188"/>
      <c r="F188" s="4"/>
      <c r="G188"/>
      <c r="H188"/>
      <c r="J188">
        <v>55</v>
      </c>
      <c r="K188">
        <v>55</v>
      </c>
      <c r="L188">
        <v>179</v>
      </c>
      <c r="M188"/>
      <c r="N188"/>
    </row>
    <row r="189" spans="1:14" ht="15" x14ac:dyDescent="0.25">
      <c r="A189"/>
      <c r="B189"/>
      <c r="C189"/>
      <c r="D189"/>
      <c r="E189"/>
      <c r="F189" s="4"/>
      <c r="G189" s="15" t="s">
        <v>201</v>
      </c>
      <c r="H189" s="19">
        <f>+H187*0.2</f>
        <v>2798.6525480769233</v>
      </c>
      <c r="J189">
        <v>40</v>
      </c>
      <c r="K189">
        <v>40</v>
      </c>
      <c r="L189">
        <v>125</v>
      </c>
      <c r="M189"/>
      <c r="N189"/>
    </row>
    <row r="190" spans="1:14" ht="15" x14ac:dyDescent="0.25">
      <c r="A190"/>
      <c r="B190"/>
      <c r="C190"/>
      <c r="D190"/>
      <c r="E190"/>
      <c r="F190" s="4"/>
      <c r="G190" s="15" t="s">
        <v>93</v>
      </c>
      <c r="H190" s="17">
        <f>+H187+H189</f>
        <v>16791.91528846154</v>
      </c>
      <c r="J190">
        <v>50</v>
      </c>
      <c r="K190">
        <v>50</v>
      </c>
      <c r="L190">
        <v>159</v>
      </c>
      <c r="M190"/>
      <c r="N190"/>
    </row>
    <row r="191" spans="1:14" ht="15" x14ac:dyDescent="0.25">
      <c r="A191"/>
      <c r="B191"/>
      <c r="C191"/>
      <c r="D191"/>
      <c r="E191"/>
      <c r="F191" s="4"/>
      <c r="G191" t="s">
        <v>95</v>
      </c>
      <c r="H191" s="18">
        <f>+H190*0.1</f>
        <v>1679.1915288461541</v>
      </c>
      <c r="J191">
        <v>55</v>
      </c>
      <c r="K191">
        <v>54</v>
      </c>
      <c r="L191">
        <v>170</v>
      </c>
      <c r="M191"/>
      <c r="N191"/>
    </row>
    <row r="192" spans="1:14" ht="15" x14ac:dyDescent="0.25">
      <c r="A192"/>
      <c r="B192"/>
      <c r="C192"/>
      <c r="D192"/>
      <c r="E192"/>
      <c r="F192" s="4"/>
      <c r="G192" s="7" t="s">
        <v>96</v>
      </c>
      <c r="H192" s="12">
        <f>+H190+H191</f>
        <v>18471.106817307693</v>
      </c>
      <c r="J192">
        <f>SUM(J186:J191)</f>
        <v>260</v>
      </c>
      <c r="K192">
        <f>SUM(K186:K191)</f>
        <v>255</v>
      </c>
      <c r="L192">
        <f>SUM(L186:L191)</f>
        <v>826</v>
      </c>
      <c r="M192"/>
      <c r="N192"/>
    </row>
    <row r="193" spans="1:14" ht="15" x14ac:dyDescent="0.25">
      <c r="A193"/>
      <c r="B193"/>
      <c r="C193"/>
      <c r="D193"/>
      <c r="E193"/>
      <c r="F193"/>
      <c r="G193"/>
      <c r="H193" s="16">
        <f>+H192*0.32</f>
        <v>5910.754181538462</v>
      </c>
      <c r="J193"/>
      <c r="K193"/>
      <c r="L193">
        <f>82*0.92</f>
        <v>75.44</v>
      </c>
      <c r="M193"/>
      <c r="N193"/>
    </row>
    <row r="194" spans="1:14" ht="15" x14ac:dyDescent="0.25">
      <c r="A194"/>
      <c r="B194"/>
      <c r="C194"/>
      <c r="D194"/>
      <c r="E194"/>
      <c r="F194"/>
      <c r="G194"/>
      <c r="H194" s="29">
        <f>+H192+H193</f>
        <v>24381.860998846154</v>
      </c>
    </row>
    <row r="197" spans="1:14" ht="15" x14ac:dyDescent="0.25">
      <c r="A197" s="445" t="s">
        <v>312</v>
      </c>
      <c r="B197" s="445"/>
      <c r="C197" s="445"/>
      <c r="D197" s="445"/>
      <c r="E197" s="445"/>
      <c r="F197" s="445"/>
      <c r="G197" s="445"/>
      <c r="H197" s="445"/>
    </row>
    <row r="198" spans="1:14" ht="15" x14ac:dyDescent="0.25">
      <c r="A198"/>
      <c r="B198"/>
      <c r="C198"/>
      <c r="D198"/>
      <c r="E198"/>
      <c r="F198" s="4"/>
      <c r="G198"/>
      <c r="H198"/>
    </row>
    <row r="199" spans="1:14" ht="15" x14ac:dyDescent="0.25">
      <c r="A199"/>
      <c r="B199"/>
      <c r="C199"/>
      <c r="D199"/>
      <c r="E199"/>
      <c r="F199" s="4"/>
      <c r="G199"/>
      <c r="H199"/>
    </row>
    <row r="200" spans="1:14" ht="15" x14ac:dyDescent="0.25">
      <c r="A200"/>
      <c r="B200"/>
      <c r="C200"/>
      <c r="D200"/>
      <c r="E200" t="s">
        <v>56</v>
      </c>
      <c r="F200" s="4"/>
      <c r="G200" t="s">
        <v>57</v>
      </c>
      <c r="H200" t="s">
        <v>55</v>
      </c>
    </row>
    <row r="201" spans="1:14" ht="15" x14ac:dyDescent="0.25">
      <c r="A201" s="2">
        <v>1</v>
      </c>
      <c r="B201" s="458" t="s">
        <v>370</v>
      </c>
      <c r="C201" s="459"/>
      <c r="D201" s="2"/>
      <c r="E201" s="2">
        <v>700</v>
      </c>
      <c r="F201" s="60" t="s">
        <v>60</v>
      </c>
      <c r="G201" s="2">
        <v>1</v>
      </c>
      <c r="H201" s="2">
        <f>+G201*E201</f>
        <v>700</v>
      </c>
    </row>
    <row r="202" spans="1:14" ht="15" x14ac:dyDescent="0.25">
      <c r="A202" s="2">
        <v>2</v>
      </c>
      <c r="B202" s="458" t="s">
        <v>371</v>
      </c>
      <c r="C202" s="461"/>
      <c r="D202" s="77"/>
      <c r="E202" s="2">
        <v>500</v>
      </c>
      <c r="F202" s="60"/>
      <c r="G202" s="2">
        <v>1</v>
      </c>
      <c r="H202">
        <f>+G202*E202</f>
        <v>500</v>
      </c>
    </row>
    <row r="203" spans="1:14" ht="15" x14ac:dyDescent="0.25">
      <c r="A203"/>
      <c r="B203"/>
      <c r="C203"/>
      <c r="D203"/>
      <c r="E203"/>
      <c r="F203" s="4"/>
      <c r="G203"/>
      <c r="H203" s="7">
        <f>+H201+H202</f>
        <v>1200</v>
      </c>
    </row>
    <row r="204" spans="1:14" ht="15" x14ac:dyDescent="0.25">
      <c r="A204" s="2">
        <v>1</v>
      </c>
      <c r="B204" s="460" t="s">
        <v>185</v>
      </c>
      <c r="C204" s="460"/>
      <c r="D204" s="9" t="s">
        <v>376</v>
      </c>
      <c r="E204" s="2">
        <v>1500</v>
      </c>
      <c r="F204" s="60"/>
      <c r="G204" s="2">
        <v>0.4</v>
      </c>
      <c r="H204" s="13">
        <f>+G204*E204</f>
        <v>600</v>
      </c>
    </row>
    <row r="205" spans="1:14" ht="15" x14ac:dyDescent="0.25">
      <c r="A205" s="2">
        <v>2</v>
      </c>
      <c r="B205" s="460" t="s">
        <v>372</v>
      </c>
      <c r="C205" s="460"/>
      <c r="D205" s="9"/>
      <c r="E205" s="2">
        <v>1100</v>
      </c>
      <c r="F205" s="60"/>
      <c r="G205" s="2">
        <f>0.75-0.4</f>
        <v>0.35</v>
      </c>
      <c r="H205" s="13">
        <f>+G205*E205</f>
        <v>385</v>
      </c>
    </row>
    <row r="206" spans="1:14" ht="15" x14ac:dyDescent="0.25">
      <c r="A206"/>
      <c r="B206"/>
      <c r="C206"/>
      <c r="D206"/>
      <c r="E206"/>
      <c r="F206" s="4"/>
      <c r="G206"/>
      <c r="H206" s="12">
        <f>SUM(H204:H205)</f>
        <v>985</v>
      </c>
    </row>
    <row r="207" spans="1:14" ht="15" x14ac:dyDescent="0.25">
      <c r="A207" s="2"/>
      <c r="B207" s="455" t="s">
        <v>373</v>
      </c>
      <c r="C207" s="456"/>
      <c r="D207" s="9">
        <v>1</v>
      </c>
      <c r="E207" s="9">
        <v>100000</v>
      </c>
      <c r="F207" s="60"/>
      <c r="G207" s="2"/>
      <c r="H207" s="9">
        <f>+E207*D207</f>
        <v>100000</v>
      </c>
    </row>
    <row r="208" spans="1:14" ht="15" x14ac:dyDescent="0.25">
      <c r="A208" s="2"/>
      <c r="B208" s="455" t="s">
        <v>374</v>
      </c>
      <c r="C208" s="456"/>
      <c r="D208" s="9">
        <v>1</v>
      </c>
      <c r="E208" s="9">
        <v>100000</v>
      </c>
      <c r="F208" s="60"/>
      <c r="G208" s="2"/>
      <c r="H208" s="9">
        <f>+E208*D208</f>
        <v>100000</v>
      </c>
    </row>
    <row r="209" spans="1:8" ht="15" x14ac:dyDescent="0.25">
      <c r="A209" s="2"/>
      <c r="B209" s="455" t="s">
        <v>375</v>
      </c>
      <c r="C209" s="456"/>
      <c r="D209" s="9">
        <v>1</v>
      </c>
      <c r="E209" s="9">
        <v>100000</v>
      </c>
      <c r="F209" s="60"/>
      <c r="G209" s="2"/>
      <c r="H209" s="9">
        <f>+E209*D209</f>
        <v>100000</v>
      </c>
    </row>
    <row r="210" spans="1:8" ht="15" x14ac:dyDescent="0.25">
      <c r="A210" s="2"/>
      <c r="B210" s="458" t="s">
        <v>377</v>
      </c>
      <c r="C210" s="459"/>
      <c r="D210" s="9">
        <v>1</v>
      </c>
      <c r="E210" s="9">
        <v>100000</v>
      </c>
      <c r="F210" s="60"/>
      <c r="G210" s="2"/>
      <c r="H210" s="9">
        <f>+E210*D210</f>
        <v>100000</v>
      </c>
    </row>
    <row r="211" spans="1:8" ht="15" x14ac:dyDescent="0.25">
      <c r="A211" s="78"/>
      <c r="B211" s="3" t="s">
        <v>393</v>
      </c>
      <c r="C211" s="11"/>
      <c r="D211" s="3">
        <v>400</v>
      </c>
      <c r="E211" s="11"/>
      <c r="F211" s="79"/>
      <c r="G211" s="78"/>
      <c r="H211" s="11">
        <f>SUM(H207:H210)</f>
        <v>400000</v>
      </c>
    </row>
    <row r="212" spans="1:8" ht="15" x14ac:dyDescent="0.25">
      <c r="A212" s="3"/>
      <c r="B212" s="3"/>
      <c r="C212" s="11"/>
      <c r="D212" s="3"/>
      <c r="E212" s="11"/>
      <c r="F212" s="6"/>
      <c r="G212" s="3"/>
      <c r="H212" s="28">
        <f>+H211/D211</f>
        <v>1000</v>
      </c>
    </row>
    <row r="213" spans="1:8" ht="15" x14ac:dyDescent="0.25">
      <c r="A213"/>
      <c r="B213"/>
      <c r="C213"/>
      <c r="D213"/>
      <c r="E213"/>
      <c r="F213" s="4"/>
      <c r="G213"/>
      <c r="H213"/>
    </row>
    <row r="214" spans="1:8" ht="15" x14ac:dyDescent="0.25">
      <c r="A214" s="2"/>
      <c r="B214" s="2" t="s">
        <v>86</v>
      </c>
      <c r="C214" s="9"/>
      <c r="D214" s="13"/>
      <c r="E214" s="2"/>
      <c r="F214" s="60"/>
      <c r="G214" s="2"/>
      <c r="H214" s="14">
        <f>+E214/400</f>
        <v>0</v>
      </c>
    </row>
    <row r="215" spans="1:8" ht="15" x14ac:dyDescent="0.25">
      <c r="A215"/>
      <c r="B215"/>
      <c r="C215"/>
      <c r="D215"/>
      <c r="E215"/>
      <c r="F215" s="4"/>
      <c r="G215"/>
      <c r="H215"/>
    </row>
    <row r="216" spans="1:8" ht="15" x14ac:dyDescent="0.25">
      <c r="A216"/>
      <c r="B216"/>
      <c r="C216"/>
      <c r="D216"/>
      <c r="E216"/>
      <c r="F216" s="4"/>
      <c r="G216" s="7" t="s">
        <v>88</v>
      </c>
      <c r="H216" s="17">
        <f>+H203+H206+H212+H214</f>
        <v>3185</v>
      </c>
    </row>
    <row r="217" spans="1:8" ht="15" x14ac:dyDescent="0.25">
      <c r="A217"/>
      <c r="B217"/>
      <c r="C217"/>
      <c r="D217"/>
      <c r="E217"/>
      <c r="F217" s="4"/>
      <c r="G217"/>
      <c r="H217"/>
    </row>
    <row r="218" spans="1:8" ht="15" x14ac:dyDescent="0.25">
      <c r="A218"/>
      <c r="B218"/>
      <c r="C218"/>
      <c r="D218"/>
      <c r="E218"/>
      <c r="F218" s="4"/>
      <c r="G218" s="15" t="s">
        <v>201</v>
      </c>
      <c r="H218" s="19">
        <f>+H216*0.2</f>
        <v>637</v>
      </c>
    </row>
    <row r="219" spans="1:8" ht="15" x14ac:dyDescent="0.25">
      <c r="A219"/>
      <c r="B219"/>
      <c r="C219"/>
      <c r="D219"/>
      <c r="E219"/>
      <c r="F219" s="4"/>
      <c r="G219" s="15" t="s">
        <v>93</v>
      </c>
      <c r="H219" s="17">
        <f>+H216+H218</f>
        <v>3822</v>
      </c>
    </row>
    <row r="220" spans="1:8" ht="15" x14ac:dyDescent="0.25">
      <c r="A220"/>
      <c r="B220"/>
      <c r="C220"/>
      <c r="D220"/>
      <c r="E220"/>
      <c r="F220" s="4"/>
      <c r="G220" t="s">
        <v>95</v>
      </c>
      <c r="H220" s="18">
        <f>+H219*0.1</f>
        <v>382.20000000000005</v>
      </c>
    </row>
    <row r="221" spans="1:8" ht="15" x14ac:dyDescent="0.25">
      <c r="A221"/>
      <c r="B221"/>
      <c r="C221"/>
      <c r="D221"/>
      <c r="E221"/>
      <c r="F221" s="4"/>
      <c r="G221" s="7" t="s">
        <v>96</v>
      </c>
      <c r="H221" s="12">
        <f>+H219+H220</f>
        <v>4204.2</v>
      </c>
    </row>
    <row r="222" spans="1:8" ht="15" x14ac:dyDescent="0.25">
      <c r="A222"/>
      <c r="B222"/>
      <c r="C222"/>
      <c r="D222"/>
      <c r="E222"/>
      <c r="F222"/>
      <c r="G222"/>
      <c r="H222" s="16">
        <f>+H221*0.32</f>
        <v>1345.3440000000001</v>
      </c>
    </row>
    <row r="223" spans="1:8" ht="15" x14ac:dyDescent="0.25">
      <c r="A223"/>
      <c r="B223"/>
      <c r="C223"/>
      <c r="D223"/>
      <c r="E223"/>
      <c r="F223"/>
      <c r="G223"/>
      <c r="H223" s="29">
        <f>+H221+H222</f>
        <v>5549.5439999999999</v>
      </c>
    </row>
  </sheetData>
  <mergeCells count="15">
    <mergeCell ref="B209:C209"/>
    <mergeCell ref="A1:H1"/>
    <mergeCell ref="A37:H37"/>
    <mergeCell ref="A76:H76"/>
    <mergeCell ref="B210:C210"/>
    <mergeCell ref="B201:C201"/>
    <mergeCell ref="B204:C204"/>
    <mergeCell ref="B205:C205"/>
    <mergeCell ref="B202:C202"/>
    <mergeCell ref="B207:C207"/>
    <mergeCell ref="J80:L80"/>
    <mergeCell ref="A118:H118"/>
    <mergeCell ref="A197:H197"/>
    <mergeCell ref="A160:H160"/>
    <mergeCell ref="B208:C208"/>
  </mergeCells>
  <pageMargins left="0.7" right="0.7" top="0.75" bottom="0.75" header="0.3" footer="0.3"/>
  <pageSetup paperSize="9" scale="30" orientation="portrait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83915-1B8D-4BF6-A414-FE26BA6E248D}">
  <dimension ref="A1:O163"/>
  <sheetViews>
    <sheetView zoomScale="90" zoomScaleNormal="90" workbookViewId="0">
      <selection activeCell="I114" sqref="I114"/>
    </sheetView>
  </sheetViews>
  <sheetFormatPr defaultRowHeight="12.75" x14ac:dyDescent="0.2"/>
  <cols>
    <col min="1" max="1" width="3.140625" style="80" bestFit="1" customWidth="1"/>
    <col min="2" max="2" width="20.5703125" style="80" bestFit="1" customWidth="1"/>
    <col min="3" max="3" width="18.42578125" style="80" bestFit="1" customWidth="1"/>
    <col min="4" max="4" width="15.28515625" style="80" bestFit="1" customWidth="1"/>
    <col min="5" max="5" width="16.5703125" style="80" bestFit="1" customWidth="1"/>
    <col min="6" max="6" width="3.7109375" style="80" bestFit="1" customWidth="1"/>
    <col min="7" max="7" width="14.42578125" style="80" bestFit="1" customWidth="1"/>
    <col min="8" max="8" width="13.28515625" style="80" bestFit="1" customWidth="1"/>
    <col min="9" max="10" width="9.140625" style="80"/>
    <col min="11" max="11" width="20.5703125" style="80" bestFit="1" customWidth="1"/>
    <col min="12" max="12" width="7.140625" style="80" bestFit="1" customWidth="1"/>
    <col min="13" max="13" width="7.7109375" style="80" bestFit="1" customWidth="1"/>
    <col min="14" max="14" width="13.140625" style="80" bestFit="1" customWidth="1"/>
    <col min="15" max="15" width="10.85546875" style="80" bestFit="1" customWidth="1"/>
    <col min="16" max="16384" width="9.140625" style="80"/>
  </cols>
  <sheetData>
    <row r="1" spans="1:15" ht="13.5" thickBot="1" x14ac:dyDescent="0.25"/>
    <row r="2" spans="1:15" ht="13.5" thickBot="1" x14ac:dyDescent="0.25">
      <c r="K2" s="242" t="s">
        <v>275</v>
      </c>
      <c r="L2" s="242" t="s">
        <v>276</v>
      </c>
      <c r="M2" s="242" t="s">
        <v>69</v>
      </c>
      <c r="N2" s="242" t="s">
        <v>277</v>
      </c>
      <c r="O2" s="242" t="s">
        <v>278</v>
      </c>
    </row>
    <row r="3" spans="1:15" ht="13.5" thickBot="1" x14ac:dyDescent="0.25">
      <c r="K3" s="243" t="s">
        <v>279</v>
      </c>
      <c r="L3" s="243">
        <v>80</v>
      </c>
      <c r="M3" s="243">
        <v>0.8</v>
      </c>
      <c r="N3" s="244">
        <v>18000</v>
      </c>
      <c r="O3" s="244">
        <v>14400</v>
      </c>
    </row>
    <row r="4" spans="1:15" ht="13.5" thickBot="1" x14ac:dyDescent="0.25">
      <c r="C4" s="462" t="s">
        <v>296</v>
      </c>
      <c r="D4" s="462"/>
      <c r="E4" s="462"/>
      <c r="F4" s="462"/>
      <c r="K4" s="243" t="s">
        <v>175</v>
      </c>
      <c r="L4" s="243">
        <v>10</v>
      </c>
      <c r="M4" s="243">
        <v>0.1</v>
      </c>
      <c r="N4" s="244">
        <v>3000</v>
      </c>
      <c r="O4" s="243">
        <v>300</v>
      </c>
    </row>
    <row r="5" spans="1:15" ht="13.5" thickBot="1" x14ac:dyDescent="0.25">
      <c r="F5" s="88"/>
      <c r="L5" s="245">
        <f>SUM(L3:L4)</f>
        <v>90</v>
      </c>
      <c r="M5" s="245">
        <f>SUM(M3:M4)</f>
        <v>0.9</v>
      </c>
      <c r="N5" s="245">
        <f>SUM(N3:N4)</f>
        <v>21000</v>
      </c>
      <c r="O5" s="245">
        <f>SUM(O3:O4)</f>
        <v>14700</v>
      </c>
    </row>
    <row r="6" spans="1:15" ht="13.5" thickBot="1" x14ac:dyDescent="0.25">
      <c r="E6" s="80" t="s">
        <v>56</v>
      </c>
      <c r="F6" s="88"/>
      <c r="G6" s="80" t="s">
        <v>57</v>
      </c>
      <c r="H6" s="80" t="s">
        <v>55</v>
      </c>
      <c r="K6" s="243" t="s">
        <v>280</v>
      </c>
      <c r="L6" s="243">
        <v>4</v>
      </c>
      <c r="M6" s="243">
        <v>0.04</v>
      </c>
      <c r="N6" s="244">
        <v>18000</v>
      </c>
      <c r="O6" s="243">
        <v>720</v>
      </c>
    </row>
    <row r="7" spans="1:15" ht="13.5" thickBot="1" x14ac:dyDescent="0.25">
      <c r="A7" s="86">
        <v>1</v>
      </c>
      <c r="B7" s="86" t="s">
        <v>287</v>
      </c>
      <c r="C7" s="86"/>
      <c r="D7" s="86"/>
      <c r="E7" s="86">
        <v>1000</v>
      </c>
      <c r="F7" s="87" t="s">
        <v>60</v>
      </c>
      <c r="G7" s="86">
        <v>1</v>
      </c>
      <c r="H7" s="86">
        <f>+E7*G7</f>
        <v>1000</v>
      </c>
      <c r="K7" s="243" t="s">
        <v>281</v>
      </c>
      <c r="L7" s="243">
        <v>2</v>
      </c>
      <c r="M7" s="243">
        <v>0.02</v>
      </c>
      <c r="N7" s="244">
        <v>7000</v>
      </c>
      <c r="O7" s="243">
        <v>140</v>
      </c>
    </row>
    <row r="8" spans="1:15" ht="13.5" thickBot="1" x14ac:dyDescent="0.25">
      <c r="A8" s="86">
        <v>2</v>
      </c>
      <c r="B8" s="86" t="s">
        <v>288</v>
      </c>
      <c r="C8" s="86"/>
      <c r="D8" s="86" t="s">
        <v>289</v>
      </c>
      <c r="E8" s="86">
        <v>450</v>
      </c>
      <c r="F8" s="87" t="s">
        <v>60</v>
      </c>
      <c r="G8" s="86">
        <v>1</v>
      </c>
      <c r="H8" s="86">
        <f>+G8*E8</f>
        <v>450</v>
      </c>
      <c r="K8" s="243" t="s">
        <v>282</v>
      </c>
      <c r="L8" s="243">
        <v>1.5</v>
      </c>
      <c r="M8" s="243">
        <v>1.4999999999999999E-2</v>
      </c>
      <c r="N8" s="244">
        <v>3000</v>
      </c>
      <c r="O8" s="243">
        <v>45</v>
      </c>
    </row>
    <row r="9" spans="1:15" ht="13.5" thickBot="1" x14ac:dyDescent="0.25">
      <c r="A9" s="86"/>
      <c r="B9" s="86"/>
      <c r="C9" s="86"/>
      <c r="D9" s="86"/>
      <c r="E9" s="86"/>
      <c r="F9" s="87"/>
      <c r="G9" s="86"/>
      <c r="H9" s="86"/>
      <c r="K9" s="243" t="s">
        <v>283</v>
      </c>
      <c r="L9" s="243">
        <v>1</v>
      </c>
      <c r="M9" s="243">
        <v>0.01</v>
      </c>
      <c r="N9" s="244">
        <v>9000</v>
      </c>
      <c r="O9" s="243">
        <v>90</v>
      </c>
    </row>
    <row r="10" spans="1:15" ht="13.5" thickBot="1" x14ac:dyDescent="0.25">
      <c r="A10" s="86"/>
      <c r="B10" s="86"/>
      <c r="C10" s="86"/>
      <c r="D10" s="86"/>
      <c r="E10" s="86"/>
      <c r="F10" s="87"/>
      <c r="G10" s="86"/>
      <c r="H10" s="86"/>
      <c r="K10" s="243" t="s">
        <v>284</v>
      </c>
      <c r="L10" s="243">
        <v>0.5</v>
      </c>
      <c r="M10" s="243">
        <v>5.0000000000000001E-3</v>
      </c>
      <c r="N10" s="244">
        <v>25000</v>
      </c>
      <c r="O10" s="243">
        <v>125</v>
      </c>
    </row>
    <row r="11" spans="1:15" ht="13.5" thickBot="1" x14ac:dyDescent="0.25">
      <c r="A11" s="210"/>
      <c r="B11" s="210"/>
      <c r="C11" s="210"/>
      <c r="D11" s="210"/>
      <c r="E11" s="210"/>
      <c r="F11" s="211"/>
      <c r="G11" s="210"/>
      <c r="H11" s="89">
        <f>+H7+H8+H9+H10</f>
        <v>1450</v>
      </c>
      <c r="K11" s="243" t="s">
        <v>285</v>
      </c>
      <c r="L11" s="243">
        <v>0.2</v>
      </c>
      <c r="M11" s="243">
        <v>2E-3</v>
      </c>
      <c r="N11" s="244">
        <v>25000</v>
      </c>
      <c r="O11" s="243">
        <v>50</v>
      </c>
    </row>
    <row r="12" spans="1:15" ht="13.5" thickBot="1" x14ac:dyDescent="0.25">
      <c r="F12" s="88"/>
      <c r="K12" s="243" t="s">
        <v>286</v>
      </c>
      <c r="L12" s="243">
        <v>0.8</v>
      </c>
      <c r="M12" s="243">
        <v>8.0000000000000002E-3</v>
      </c>
      <c r="N12" s="244">
        <v>10000</v>
      </c>
      <c r="O12" s="243">
        <v>80</v>
      </c>
    </row>
    <row r="13" spans="1:15" ht="13.5" thickBot="1" x14ac:dyDescent="0.25">
      <c r="A13" s="86">
        <v>1</v>
      </c>
      <c r="B13" s="243" t="s">
        <v>279</v>
      </c>
      <c r="C13" s="86"/>
      <c r="D13" s="86"/>
      <c r="E13" s="244">
        <v>18000</v>
      </c>
      <c r="F13" s="87" t="s">
        <v>69</v>
      </c>
      <c r="G13" s="243">
        <v>0.7</v>
      </c>
      <c r="H13" s="92">
        <f>+G13*E13</f>
        <v>12600</v>
      </c>
      <c r="L13" s="246">
        <f>SUM(L6:L12)</f>
        <v>10</v>
      </c>
      <c r="M13" s="246">
        <f>SUM(M6:M12)</f>
        <v>0.1</v>
      </c>
      <c r="N13" s="246">
        <f>SUM(N6:N12)</f>
        <v>97000</v>
      </c>
      <c r="O13" s="246">
        <f>SUM(O6:O12)</f>
        <v>1250</v>
      </c>
    </row>
    <row r="14" spans="1:15" ht="13.5" thickBot="1" x14ac:dyDescent="0.25">
      <c r="A14" s="86">
        <v>2</v>
      </c>
      <c r="B14" s="243" t="s">
        <v>175</v>
      </c>
      <c r="C14" s="86"/>
      <c r="D14" s="86"/>
      <c r="E14" s="244">
        <v>3000</v>
      </c>
      <c r="F14" s="87" t="s">
        <v>69</v>
      </c>
      <c r="G14" s="243">
        <v>0.1</v>
      </c>
      <c r="H14" s="92">
        <f>+G14*E14</f>
        <v>300</v>
      </c>
    </row>
    <row r="15" spans="1:15" ht="13.5" thickBot="1" x14ac:dyDescent="0.25">
      <c r="A15" s="86">
        <v>3</v>
      </c>
      <c r="B15" s="243" t="s">
        <v>280</v>
      </c>
      <c r="C15" s="86"/>
      <c r="D15" s="86"/>
      <c r="E15" s="244">
        <v>18000</v>
      </c>
      <c r="F15" s="87" t="s">
        <v>69</v>
      </c>
      <c r="G15" s="243">
        <v>0.04</v>
      </c>
      <c r="H15" s="92">
        <f t="shared" ref="H15:H21" si="0">+G15*E15</f>
        <v>720</v>
      </c>
    </row>
    <row r="16" spans="1:15" ht="13.5" thickBot="1" x14ac:dyDescent="0.25">
      <c r="A16" s="86">
        <v>4</v>
      </c>
      <c r="B16" s="243" t="s">
        <v>281</v>
      </c>
      <c r="C16" s="86">
        <f>56700/3.5</f>
        <v>16200</v>
      </c>
      <c r="D16" s="86" t="s">
        <v>290</v>
      </c>
      <c r="E16" s="244">
        <v>16200</v>
      </c>
      <c r="F16" s="87" t="s">
        <v>72</v>
      </c>
      <c r="G16" s="243">
        <v>0.02</v>
      </c>
      <c r="H16" s="92">
        <f>+G16*E16</f>
        <v>324</v>
      </c>
    </row>
    <row r="17" spans="1:10" ht="13.5" thickBot="1" x14ac:dyDescent="0.25">
      <c r="A17" s="86">
        <v>5</v>
      </c>
      <c r="B17" s="243" t="s">
        <v>282</v>
      </c>
      <c r="C17" s="86"/>
      <c r="D17" s="86"/>
      <c r="E17" s="244">
        <v>6000</v>
      </c>
      <c r="F17" s="87" t="s">
        <v>69</v>
      </c>
      <c r="G17" s="243">
        <v>1.4999999999999999E-2</v>
      </c>
      <c r="H17" s="247">
        <f>+G17*E17</f>
        <v>90</v>
      </c>
    </row>
    <row r="18" spans="1:10" ht="13.5" thickBot="1" x14ac:dyDescent="0.25">
      <c r="A18" s="86">
        <v>6</v>
      </c>
      <c r="B18" s="243" t="s">
        <v>283</v>
      </c>
      <c r="C18" s="86"/>
      <c r="D18" s="248"/>
      <c r="E18" s="244">
        <v>9000</v>
      </c>
      <c r="F18" s="87" t="s">
        <v>69</v>
      </c>
      <c r="G18" s="243">
        <v>0.01</v>
      </c>
      <c r="H18" s="92">
        <f t="shared" si="0"/>
        <v>90</v>
      </c>
    </row>
    <row r="19" spans="1:10" ht="13.5" thickBot="1" x14ac:dyDescent="0.25">
      <c r="A19" s="86">
        <v>7</v>
      </c>
      <c r="B19" s="243" t="s">
        <v>284</v>
      </c>
      <c r="C19" s="86">
        <f>66000/5</f>
        <v>13200</v>
      </c>
      <c r="D19" s="86" t="s">
        <v>291</v>
      </c>
      <c r="E19" s="244">
        <v>15000</v>
      </c>
      <c r="F19" s="87" t="s">
        <v>69</v>
      </c>
      <c r="G19" s="243">
        <v>5.0000000000000001E-3</v>
      </c>
      <c r="H19" s="92">
        <f t="shared" si="0"/>
        <v>75</v>
      </c>
    </row>
    <row r="20" spans="1:10" ht="13.5" thickBot="1" x14ac:dyDescent="0.25">
      <c r="A20" s="86">
        <v>8</v>
      </c>
      <c r="B20" s="243" t="s">
        <v>285</v>
      </c>
      <c r="C20" s="86"/>
      <c r="D20" s="86"/>
      <c r="E20" s="244">
        <v>50000</v>
      </c>
      <c r="F20" s="87" t="s">
        <v>69</v>
      </c>
      <c r="G20" s="243">
        <v>2E-3</v>
      </c>
      <c r="H20" s="92">
        <f t="shared" si="0"/>
        <v>100</v>
      </c>
    </row>
    <row r="21" spans="1:10" ht="13.5" thickBot="1" x14ac:dyDescent="0.25">
      <c r="A21" s="86">
        <v>9</v>
      </c>
      <c r="B21" s="243" t="s">
        <v>286</v>
      </c>
      <c r="C21" s="86"/>
      <c r="D21" s="86"/>
      <c r="E21" s="244">
        <v>10000</v>
      </c>
      <c r="F21" s="87" t="s">
        <v>69</v>
      </c>
      <c r="G21" s="243">
        <v>8.0000000000000002E-3</v>
      </c>
      <c r="H21" s="92">
        <f t="shared" si="0"/>
        <v>80</v>
      </c>
      <c r="J21" s="80" t="s">
        <v>403</v>
      </c>
    </row>
    <row r="22" spans="1:10" x14ac:dyDescent="0.2">
      <c r="A22" s="86"/>
      <c r="B22" s="86" t="s">
        <v>396</v>
      </c>
      <c r="C22" s="86"/>
      <c r="D22" s="86" t="s">
        <v>261</v>
      </c>
      <c r="E22" s="86"/>
      <c r="F22" s="87"/>
      <c r="G22" s="86"/>
      <c r="H22" s="92"/>
      <c r="J22" s="80" t="s">
        <v>404</v>
      </c>
    </row>
    <row r="23" spans="1:10" x14ac:dyDescent="0.2">
      <c r="A23" s="210"/>
      <c r="B23" s="210"/>
      <c r="C23" s="210"/>
      <c r="D23" s="210"/>
      <c r="E23" s="210"/>
      <c r="F23" s="211"/>
      <c r="G23" s="210"/>
      <c r="H23" s="212">
        <f>+H13+H14+H15+H16+H17+H18+H19+H20+H21</f>
        <v>14379</v>
      </c>
    </row>
    <row r="24" spans="1:10" x14ac:dyDescent="0.2">
      <c r="F24" s="88"/>
    </row>
    <row r="25" spans="1:10" x14ac:dyDescent="0.2">
      <c r="F25" s="88"/>
    </row>
    <row r="26" spans="1:10" x14ac:dyDescent="0.2">
      <c r="A26" s="86"/>
      <c r="B26" s="86" t="s">
        <v>292</v>
      </c>
      <c r="C26" s="92">
        <v>1</v>
      </c>
      <c r="D26" s="213">
        <v>100000</v>
      </c>
      <c r="E26" s="86"/>
      <c r="F26" s="87"/>
      <c r="G26" s="86"/>
      <c r="H26" s="213">
        <f>+D26*C26</f>
        <v>100000</v>
      </c>
    </row>
    <row r="27" spans="1:10" x14ac:dyDescent="0.2">
      <c r="A27" s="86"/>
      <c r="B27" s="86" t="s">
        <v>293</v>
      </c>
      <c r="C27" s="92">
        <v>1</v>
      </c>
      <c r="D27" s="213">
        <v>100000</v>
      </c>
      <c r="E27" s="86"/>
      <c r="F27" s="87"/>
      <c r="G27" s="86"/>
      <c r="H27" s="213">
        <f>+D27*C27</f>
        <v>100000</v>
      </c>
    </row>
    <row r="28" spans="1:10" x14ac:dyDescent="0.2">
      <c r="A28" s="86"/>
      <c r="B28" s="86" t="s">
        <v>294</v>
      </c>
      <c r="C28" s="249">
        <v>1</v>
      </c>
      <c r="D28" s="213">
        <v>100000</v>
      </c>
      <c r="E28" s="86"/>
      <c r="F28" s="87"/>
      <c r="G28" s="86"/>
      <c r="H28" s="213">
        <f>+D28*C28</f>
        <v>100000</v>
      </c>
    </row>
    <row r="29" spans="1:10" x14ac:dyDescent="0.2">
      <c r="A29" s="86"/>
      <c r="B29" s="86" t="s">
        <v>295</v>
      </c>
      <c r="C29" s="92">
        <v>1</v>
      </c>
      <c r="D29" s="213">
        <v>100000</v>
      </c>
      <c r="E29" s="86"/>
      <c r="F29" s="87"/>
      <c r="G29" s="86"/>
      <c r="H29" s="213">
        <f>+D29*C29</f>
        <v>100000</v>
      </c>
    </row>
    <row r="30" spans="1:10" x14ac:dyDescent="0.2">
      <c r="A30" s="234"/>
      <c r="B30" s="234" t="s">
        <v>320</v>
      </c>
      <c r="C30" s="250">
        <v>1000</v>
      </c>
      <c r="D30" s="215"/>
      <c r="E30" s="234"/>
      <c r="F30" s="236"/>
      <c r="G30" s="234"/>
      <c r="H30" s="215">
        <f>SUM(H26:H29)</f>
        <v>400000</v>
      </c>
    </row>
    <row r="31" spans="1:10" x14ac:dyDescent="0.2">
      <c r="A31" s="210"/>
      <c r="B31" s="210"/>
      <c r="C31" s="215"/>
      <c r="D31" s="225"/>
      <c r="E31" s="210"/>
      <c r="F31" s="211"/>
      <c r="G31" s="210"/>
      <c r="H31" s="226">
        <f>+H30/C30</f>
        <v>400</v>
      </c>
    </row>
    <row r="32" spans="1:10" x14ac:dyDescent="0.2">
      <c r="F32" s="88"/>
    </row>
    <row r="33" spans="1:8" x14ac:dyDescent="0.2">
      <c r="A33" s="86"/>
      <c r="B33" s="86"/>
      <c r="C33" s="213"/>
      <c r="D33" s="92"/>
      <c r="E33" s="86"/>
      <c r="F33" s="87"/>
      <c r="G33" s="86"/>
      <c r="H33" s="93"/>
    </row>
    <row r="34" spans="1:8" x14ac:dyDescent="0.2">
      <c r="F34" s="88"/>
    </row>
    <row r="35" spans="1:8" x14ac:dyDescent="0.2">
      <c r="F35" s="88"/>
      <c r="G35" s="89" t="s">
        <v>88</v>
      </c>
      <c r="H35" s="217">
        <f>+H11+H23+H31+H33</f>
        <v>16229</v>
      </c>
    </row>
    <row r="36" spans="1:8" x14ac:dyDescent="0.2">
      <c r="F36" s="251"/>
      <c r="G36" s="94"/>
      <c r="H36" s="94"/>
    </row>
    <row r="37" spans="1:8" x14ac:dyDescent="0.2">
      <c r="F37" s="88"/>
      <c r="G37" s="95" t="s">
        <v>91</v>
      </c>
      <c r="H37" s="218">
        <f>+H35*0.3</f>
        <v>4868.7</v>
      </c>
    </row>
    <row r="38" spans="1:8" x14ac:dyDescent="0.2">
      <c r="F38" s="88"/>
      <c r="G38" s="95" t="s">
        <v>93</v>
      </c>
      <c r="H38" s="217">
        <f>+H35+H37</f>
        <v>21097.7</v>
      </c>
    </row>
    <row r="39" spans="1:8" x14ac:dyDescent="0.2">
      <c r="F39" s="251"/>
      <c r="G39" s="94" t="s">
        <v>95</v>
      </c>
      <c r="H39" s="252">
        <f>+H38*0.1</f>
        <v>2109.77</v>
      </c>
    </row>
    <row r="40" spans="1:8" x14ac:dyDescent="0.2">
      <c r="F40" s="88"/>
      <c r="G40" s="89" t="s">
        <v>96</v>
      </c>
      <c r="H40" s="216">
        <f>+H38+H39</f>
        <v>23207.47</v>
      </c>
    </row>
    <row r="41" spans="1:8" x14ac:dyDescent="0.2">
      <c r="H41" s="91">
        <f>+H40*0.32</f>
        <v>7426.3904000000002</v>
      </c>
    </row>
    <row r="42" spans="1:8" x14ac:dyDescent="0.2">
      <c r="F42" s="94"/>
      <c r="G42" s="94"/>
      <c r="H42" s="253">
        <f>+H40+H41</f>
        <v>30633.860400000001</v>
      </c>
    </row>
    <row r="46" spans="1:8" x14ac:dyDescent="0.2">
      <c r="C46" s="462" t="s">
        <v>307</v>
      </c>
      <c r="D46" s="462"/>
      <c r="E46" s="462"/>
      <c r="F46" s="462"/>
    </row>
    <row r="47" spans="1:8" x14ac:dyDescent="0.2">
      <c r="F47" s="88"/>
    </row>
    <row r="48" spans="1:8" x14ac:dyDescent="0.2">
      <c r="E48" s="80" t="s">
        <v>56</v>
      </c>
      <c r="F48" s="88"/>
      <c r="G48" s="80" t="s">
        <v>57</v>
      </c>
      <c r="H48" s="80" t="s">
        <v>55</v>
      </c>
    </row>
    <row r="49" spans="1:9" x14ac:dyDescent="0.2">
      <c r="A49" s="86">
        <v>1</v>
      </c>
      <c r="B49" s="86" t="s">
        <v>287</v>
      </c>
      <c r="C49" s="86"/>
      <c r="D49" s="86"/>
      <c r="E49" s="86">
        <v>1000</v>
      </c>
      <c r="F49" s="87" t="s">
        <v>60</v>
      </c>
      <c r="G49" s="86">
        <v>1</v>
      </c>
      <c r="H49" s="86">
        <f>+E49*G49</f>
        <v>1000</v>
      </c>
    </row>
    <row r="50" spans="1:9" x14ac:dyDescent="0.2">
      <c r="A50" s="86">
        <v>2</v>
      </c>
      <c r="B50" s="86" t="s">
        <v>288</v>
      </c>
      <c r="C50" s="86"/>
      <c r="D50" s="86" t="s">
        <v>289</v>
      </c>
      <c r="E50" s="86">
        <v>450</v>
      </c>
      <c r="F50" s="87" t="s">
        <v>60</v>
      </c>
      <c r="G50" s="86">
        <v>1</v>
      </c>
      <c r="H50" s="86">
        <f>+G50*E50</f>
        <v>450</v>
      </c>
    </row>
    <row r="51" spans="1:9" x14ac:dyDescent="0.2">
      <c r="A51" s="86"/>
      <c r="B51" s="86"/>
      <c r="C51" s="86"/>
      <c r="D51" s="86"/>
      <c r="E51" s="86"/>
      <c r="F51" s="87"/>
      <c r="G51" s="86"/>
      <c r="H51" s="86"/>
    </row>
    <row r="52" spans="1:9" x14ac:dyDescent="0.2">
      <c r="A52" s="86"/>
      <c r="B52" s="86"/>
      <c r="C52" s="86"/>
      <c r="D52" s="86"/>
      <c r="E52" s="86"/>
      <c r="F52" s="87"/>
      <c r="G52" s="86"/>
      <c r="H52" s="86"/>
    </row>
    <row r="53" spans="1:9" x14ac:dyDescent="0.2">
      <c r="A53" s="210"/>
      <c r="B53" s="210"/>
      <c r="C53" s="210"/>
      <c r="D53" s="210"/>
      <c r="E53" s="210"/>
      <c r="F53" s="211"/>
      <c r="G53" s="210"/>
      <c r="H53" s="89">
        <f>+H49+H50+H51+H52</f>
        <v>1450</v>
      </c>
    </row>
    <row r="54" spans="1:9" x14ac:dyDescent="0.2">
      <c r="F54" s="88"/>
      <c r="I54" s="80" t="s">
        <v>398</v>
      </c>
    </row>
    <row r="55" spans="1:9" x14ac:dyDescent="0.2">
      <c r="A55" s="254">
        <v>1</v>
      </c>
      <c r="B55" s="254" t="s">
        <v>305</v>
      </c>
      <c r="C55" s="86"/>
      <c r="D55" s="86"/>
      <c r="E55" s="255">
        <v>9200</v>
      </c>
      <c r="F55" s="87" t="s">
        <v>69</v>
      </c>
      <c r="G55" s="254">
        <v>1.05</v>
      </c>
      <c r="H55" s="92">
        <f t="shared" ref="H55:H62" si="1">+G55*E55</f>
        <v>9660</v>
      </c>
    </row>
    <row r="56" spans="1:9" x14ac:dyDescent="0.2">
      <c r="A56" s="254">
        <v>2</v>
      </c>
      <c r="B56" s="254" t="s">
        <v>280</v>
      </c>
      <c r="C56" s="86"/>
      <c r="D56" s="86"/>
      <c r="E56" s="255">
        <v>18000</v>
      </c>
      <c r="F56" s="87" t="s">
        <v>69</v>
      </c>
      <c r="G56" s="254">
        <v>0.05</v>
      </c>
      <c r="H56" s="92">
        <f t="shared" si="1"/>
        <v>900</v>
      </c>
    </row>
    <row r="57" spans="1:9" x14ac:dyDescent="0.2">
      <c r="A57" s="254">
        <v>3</v>
      </c>
      <c r="B57" s="254" t="s">
        <v>281</v>
      </c>
      <c r="C57" s="86"/>
      <c r="D57" s="86"/>
      <c r="E57" s="255">
        <v>16200</v>
      </c>
      <c r="F57" s="87" t="s">
        <v>69</v>
      </c>
      <c r="G57" s="254">
        <v>2.5000000000000001E-2</v>
      </c>
      <c r="H57" s="92">
        <f t="shared" si="1"/>
        <v>405</v>
      </c>
    </row>
    <row r="58" spans="1:9" x14ac:dyDescent="0.2">
      <c r="A58" s="254">
        <v>4</v>
      </c>
      <c r="B58" s="254" t="s">
        <v>175</v>
      </c>
      <c r="C58" s="86"/>
      <c r="D58" s="86"/>
      <c r="E58" s="255">
        <v>3000</v>
      </c>
      <c r="F58" s="87" t="s">
        <v>72</v>
      </c>
      <c r="G58" s="254">
        <v>0.03</v>
      </c>
      <c r="H58" s="92">
        <f t="shared" si="1"/>
        <v>90</v>
      </c>
    </row>
    <row r="59" spans="1:9" x14ac:dyDescent="0.2">
      <c r="A59" s="254">
        <v>5</v>
      </c>
      <c r="B59" s="254" t="s">
        <v>301</v>
      </c>
      <c r="C59" s="86"/>
      <c r="D59" s="86"/>
      <c r="E59" s="255">
        <v>9000</v>
      </c>
      <c r="F59" s="87" t="s">
        <v>69</v>
      </c>
      <c r="G59" s="254">
        <v>1.4999999999999999E-2</v>
      </c>
      <c r="H59" s="247">
        <f t="shared" si="1"/>
        <v>135</v>
      </c>
    </row>
    <row r="60" spans="1:9" x14ac:dyDescent="0.2">
      <c r="A60" s="254">
        <v>6</v>
      </c>
      <c r="B60" s="254" t="s">
        <v>302</v>
      </c>
      <c r="C60" s="86"/>
      <c r="D60" s="248"/>
      <c r="E60" s="255">
        <v>10000</v>
      </c>
      <c r="F60" s="87" t="s">
        <v>69</v>
      </c>
      <c r="G60" s="254">
        <v>6.0000000000000001E-3</v>
      </c>
      <c r="H60" s="92">
        <f t="shared" si="1"/>
        <v>60</v>
      </c>
    </row>
    <row r="61" spans="1:9" x14ac:dyDescent="0.2">
      <c r="A61" s="254">
        <v>7</v>
      </c>
      <c r="B61" s="254" t="s">
        <v>303</v>
      </c>
      <c r="C61" s="86"/>
      <c r="D61" s="86"/>
      <c r="E61" s="255">
        <v>6000</v>
      </c>
      <c r="F61" s="87" t="s">
        <v>69</v>
      </c>
      <c r="G61" s="254">
        <v>1.2E-2</v>
      </c>
      <c r="H61" s="92">
        <f t="shared" si="1"/>
        <v>72</v>
      </c>
    </row>
    <row r="62" spans="1:9" ht="25.5" x14ac:dyDescent="0.2">
      <c r="A62" s="254">
        <v>8</v>
      </c>
      <c r="B62" s="254" t="s">
        <v>306</v>
      </c>
      <c r="C62" s="86"/>
      <c r="D62" s="86"/>
      <c r="E62" s="255">
        <v>35000</v>
      </c>
      <c r="F62" s="87" t="s">
        <v>69</v>
      </c>
      <c r="G62" s="254">
        <v>6.0000000000000001E-3</v>
      </c>
      <c r="H62" s="92">
        <f t="shared" si="1"/>
        <v>210</v>
      </c>
    </row>
    <row r="63" spans="1:9" x14ac:dyDescent="0.2">
      <c r="A63" s="254">
        <v>9</v>
      </c>
      <c r="B63" s="254" t="s">
        <v>284</v>
      </c>
      <c r="C63" s="86"/>
      <c r="D63" s="86"/>
      <c r="E63" s="255">
        <v>15000</v>
      </c>
      <c r="F63" s="87"/>
      <c r="G63" s="254">
        <v>4.0000000000000001E-3</v>
      </c>
      <c r="H63" s="92"/>
    </row>
    <row r="64" spans="1:9" x14ac:dyDescent="0.2">
      <c r="A64" s="254">
        <v>10</v>
      </c>
      <c r="B64" s="254" t="s">
        <v>285</v>
      </c>
      <c r="C64" s="86"/>
      <c r="D64" s="86"/>
      <c r="E64" s="255">
        <v>50000</v>
      </c>
      <c r="F64" s="87"/>
      <c r="G64" s="254">
        <v>1E-3</v>
      </c>
      <c r="H64" s="92"/>
    </row>
    <row r="65" spans="1:8" x14ac:dyDescent="0.2">
      <c r="A65" s="254">
        <v>11</v>
      </c>
      <c r="B65" s="254" t="s">
        <v>109</v>
      </c>
      <c r="C65" s="86"/>
      <c r="D65" s="86"/>
      <c r="E65" s="255">
        <v>1500</v>
      </c>
      <c r="F65" s="87"/>
      <c r="G65" s="254">
        <v>1E-3</v>
      </c>
      <c r="H65" s="92"/>
    </row>
    <row r="66" spans="1:8" x14ac:dyDescent="0.2">
      <c r="A66" s="210"/>
      <c r="B66" s="210"/>
      <c r="C66" s="210"/>
      <c r="D66" s="210"/>
      <c r="E66" s="210"/>
      <c r="F66" s="211"/>
      <c r="G66" s="210"/>
      <c r="H66" s="212">
        <f>SUM(H55:H65)</f>
        <v>11532</v>
      </c>
    </row>
    <row r="67" spans="1:8" x14ac:dyDescent="0.2">
      <c r="F67" s="88"/>
    </row>
    <row r="68" spans="1:8" x14ac:dyDescent="0.2">
      <c r="F68" s="88"/>
    </row>
    <row r="69" spans="1:8" x14ac:dyDescent="0.2">
      <c r="A69" s="86"/>
      <c r="B69" s="86" t="s">
        <v>292</v>
      </c>
      <c r="C69" s="92">
        <v>1</v>
      </c>
      <c r="D69" s="213">
        <v>100000</v>
      </c>
      <c r="E69" s="86"/>
      <c r="F69" s="87"/>
      <c r="G69" s="86"/>
      <c r="H69" s="213">
        <f>+D69*C69</f>
        <v>100000</v>
      </c>
    </row>
    <row r="70" spans="1:8" x14ac:dyDescent="0.2">
      <c r="A70" s="86"/>
      <c r="B70" s="86" t="s">
        <v>293</v>
      </c>
      <c r="C70" s="92">
        <v>1</v>
      </c>
      <c r="D70" s="213">
        <v>100000</v>
      </c>
      <c r="E70" s="86"/>
      <c r="F70" s="87"/>
      <c r="G70" s="86"/>
      <c r="H70" s="213">
        <f>+D70*C70</f>
        <v>100000</v>
      </c>
    </row>
    <row r="71" spans="1:8" x14ac:dyDescent="0.2">
      <c r="A71" s="86"/>
      <c r="B71" s="86" t="s">
        <v>294</v>
      </c>
      <c r="C71" s="249">
        <v>1</v>
      </c>
      <c r="D71" s="213">
        <v>100000</v>
      </c>
      <c r="E71" s="86"/>
      <c r="F71" s="87"/>
      <c r="G71" s="86"/>
      <c r="H71" s="213">
        <f>+D71*C71</f>
        <v>100000</v>
      </c>
    </row>
    <row r="72" spans="1:8" x14ac:dyDescent="0.2">
      <c r="A72" s="86"/>
      <c r="B72" s="86" t="s">
        <v>295</v>
      </c>
      <c r="C72" s="92">
        <v>1</v>
      </c>
      <c r="D72" s="213">
        <v>100000</v>
      </c>
      <c r="E72" s="86"/>
      <c r="F72" s="87"/>
      <c r="G72" s="86"/>
      <c r="H72" s="213">
        <f>+D72*C72</f>
        <v>100000</v>
      </c>
    </row>
    <row r="73" spans="1:8" x14ac:dyDescent="0.2">
      <c r="A73" s="234"/>
      <c r="B73" s="234" t="s">
        <v>320</v>
      </c>
      <c r="C73" s="215">
        <v>1000</v>
      </c>
      <c r="D73" s="215"/>
      <c r="E73" s="234"/>
      <c r="F73" s="236"/>
      <c r="G73" s="234"/>
      <c r="H73" s="215">
        <f>SUM(H69:H72)</f>
        <v>400000</v>
      </c>
    </row>
    <row r="74" spans="1:8" x14ac:dyDescent="0.2">
      <c r="A74" s="210"/>
      <c r="B74" s="210"/>
      <c r="C74" s="215"/>
      <c r="D74" s="225"/>
      <c r="E74" s="210"/>
      <c r="F74" s="211"/>
      <c r="G74" s="210"/>
      <c r="H74" s="226">
        <f>+H73/C73</f>
        <v>400</v>
      </c>
    </row>
    <row r="75" spans="1:8" x14ac:dyDescent="0.2">
      <c r="F75" s="88"/>
    </row>
    <row r="76" spans="1:8" x14ac:dyDescent="0.2">
      <c r="A76" s="86"/>
      <c r="B76" s="86" t="s">
        <v>86</v>
      </c>
      <c r="C76" s="213">
        <v>70000000</v>
      </c>
      <c r="D76" s="92">
        <f>+C76/26</f>
        <v>2692307.6923076925</v>
      </c>
      <c r="E76" s="86">
        <f>+D76/2</f>
        <v>1346153.8461538462</v>
      </c>
      <c r="F76" s="87"/>
      <c r="G76" s="86"/>
      <c r="H76" s="93">
        <f>+E76/400</f>
        <v>3365.3846153846157</v>
      </c>
    </row>
    <row r="77" spans="1:8" x14ac:dyDescent="0.2">
      <c r="F77" s="88"/>
    </row>
    <row r="78" spans="1:8" x14ac:dyDescent="0.2">
      <c r="F78" s="88"/>
      <c r="G78" s="89" t="s">
        <v>88</v>
      </c>
      <c r="H78" s="217">
        <f>+H53+H66+H74+H76</f>
        <v>16747.384615384617</v>
      </c>
    </row>
    <row r="79" spans="1:8" x14ac:dyDescent="0.2">
      <c r="F79" s="251"/>
      <c r="G79" s="94"/>
      <c r="H79" s="94"/>
    </row>
    <row r="80" spans="1:8" x14ac:dyDescent="0.2">
      <c r="F80" s="88"/>
      <c r="G80" s="95" t="s">
        <v>91</v>
      </c>
      <c r="H80" s="218">
        <f>+H78*0.3</f>
        <v>5024.2153846153851</v>
      </c>
    </row>
    <row r="81" spans="1:8" x14ac:dyDescent="0.2">
      <c r="F81" s="88"/>
      <c r="G81" s="95" t="s">
        <v>93</v>
      </c>
      <c r="H81" s="217">
        <f>+H78+H80</f>
        <v>21771.600000000002</v>
      </c>
    </row>
    <row r="82" spans="1:8" x14ac:dyDescent="0.2">
      <c r="F82" s="251"/>
      <c r="G82" s="94" t="s">
        <v>95</v>
      </c>
      <c r="H82" s="252">
        <f>+H81*0.1</f>
        <v>2177.1600000000003</v>
      </c>
    </row>
    <row r="83" spans="1:8" x14ac:dyDescent="0.2">
      <c r="F83" s="88"/>
      <c r="G83" s="89" t="s">
        <v>96</v>
      </c>
      <c r="H83" s="216">
        <f>+H81+H82</f>
        <v>23948.760000000002</v>
      </c>
    </row>
    <row r="84" spans="1:8" x14ac:dyDescent="0.2">
      <c r="H84" s="91">
        <f>+H83*0.32</f>
        <v>7663.6032000000005</v>
      </c>
    </row>
    <row r="85" spans="1:8" x14ac:dyDescent="0.2">
      <c r="F85" s="94"/>
      <c r="G85" s="94"/>
      <c r="H85" s="253">
        <f>+H83+H84</f>
        <v>31612.363200000003</v>
      </c>
    </row>
    <row r="87" spans="1:8" x14ac:dyDescent="0.2">
      <c r="C87" s="80" t="s">
        <v>308</v>
      </c>
      <c r="F87" s="88"/>
    </row>
    <row r="88" spans="1:8" x14ac:dyDescent="0.2">
      <c r="E88" s="80" t="s">
        <v>56</v>
      </c>
      <c r="F88" s="88"/>
      <c r="G88" s="80" t="s">
        <v>57</v>
      </c>
      <c r="H88" s="80" t="s">
        <v>55</v>
      </c>
    </row>
    <row r="89" spans="1:8" x14ac:dyDescent="0.2">
      <c r="A89" s="86">
        <v>1</v>
      </c>
      <c r="B89" s="86" t="s">
        <v>287</v>
      </c>
      <c r="C89" s="86"/>
      <c r="D89" s="86"/>
      <c r="E89" s="86">
        <v>1000</v>
      </c>
      <c r="F89" s="87" t="s">
        <v>60</v>
      </c>
      <c r="G89" s="86">
        <v>1</v>
      </c>
      <c r="H89" s="86">
        <f>+E89*G89</f>
        <v>1000</v>
      </c>
    </row>
    <row r="90" spans="1:8" x14ac:dyDescent="0.2">
      <c r="A90" s="86">
        <v>2</v>
      </c>
      <c r="B90" s="86" t="s">
        <v>288</v>
      </c>
      <c r="C90" s="86"/>
      <c r="D90" s="86" t="s">
        <v>289</v>
      </c>
      <c r="E90" s="86">
        <v>450</v>
      </c>
      <c r="F90" s="87" t="s">
        <v>60</v>
      </c>
      <c r="G90" s="86">
        <v>1</v>
      </c>
      <c r="H90" s="86">
        <f>+G90*E90</f>
        <v>450</v>
      </c>
    </row>
    <row r="91" spans="1:8" x14ac:dyDescent="0.2">
      <c r="A91" s="210"/>
      <c r="B91" s="210"/>
      <c r="C91" s="210"/>
      <c r="D91" s="210"/>
      <c r="E91" s="210"/>
      <c r="F91" s="211"/>
      <c r="G91" s="210"/>
      <c r="H91" s="89">
        <f>+H89+H90</f>
        <v>1450</v>
      </c>
    </row>
    <row r="92" spans="1:8" x14ac:dyDescent="0.2">
      <c r="F92" s="88"/>
    </row>
    <row r="93" spans="1:8" x14ac:dyDescent="0.2">
      <c r="A93" s="254">
        <v>1</v>
      </c>
      <c r="B93" s="254" t="s">
        <v>297</v>
      </c>
      <c r="C93" s="86"/>
      <c r="D93" s="86"/>
      <c r="E93" s="255">
        <v>14500</v>
      </c>
      <c r="F93" s="87" t="s">
        <v>69</v>
      </c>
      <c r="G93" s="254">
        <v>0.45</v>
      </c>
      <c r="H93" s="92">
        <f t="shared" ref="H93:H104" si="2">+G93*E93</f>
        <v>6525</v>
      </c>
    </row>
    <row r="94" spans="1:8" x14ac:dyDescent="0.2">
      <c r="A94" s="254"/>
      <c r="B94" s="254" t="s">
        <v>310</v>
      </c>
      <c r="C94" s="86"/>
      <c r="D94" s="86"/>
      <c r="E94" s="255">
        <v>7500</v>
      </c>
      <c r="F94" s="87"/>
      <c r="G94" s="254">
        <v>0.45</v>
      </c>
      <c r="H94" s="92">
        <f t="shared" si="2"/>
        <v>3375</v>
      </c>
    </row>
    <row r="95" spans="1:8" x14ac:dyDescent="0.2">
      <c r="A95" s="254">
        <v>2</v>
      </c>
      <c r="B95" s="254" t="s">
        <v>280</v>
      </c>
      <c r="C95" s="86"/>
      <c r="D95" s="86"/>
      <c r="E95" s="255">
        <v>18000</v>
      </c>
      <c r="F95" s="87" t="s">
        <v>69</v>
      </c>
      <c r="G95" s="254">
        <v>0.04</v>
      </c>
      <c r="H95" s="92">
        <f t="shared" si="2"/>
        <v>720</v>
      </c>
    </row>
    <row r="96" spans="1:8" x14ac:dyDescent="0.2">
      <c r="A96" s="254">
        <v>3</v>
      </c>
      <c r="B96" s="254" t="s">
        <v>281</v>
      </c>
      <c r="C96" s="86"/>
      <c r="D96" s="86"/>
      <c r="E96" s="255">
        <v>16200</v>
      </c>
      <c r="F96" s="87" t="s">
        <v>69</v>
      </c>
      <c r="G96" s="254">
        <v>0.02</v>
      </c>
      <c r="H96" s="92">
        <f t="shared" si="2"/>
        <v>324</v>
      </c>
    </row>
    <row r="97" spans="1:8" x14ac:dyDescent="0.2">
      <c r="A97" s="254">
        <v>4</v>
      </c>
      <c r="B97" s="254" t="s">
        <v>175</v>
      </c>
      <c r="C97" s="86"/>
      <c r="D97" s="86"/>
      <c r="E97" s="255">
        <v>3000</v>
      </c>
      <c r="F97" s="87" t="s">
        <v>72</v>
      </c>
      <c r="G97" s="254">
        <v>0.02</v>
      </c>
      <c r="H97" s="92">
        <f t="shared" si="2"/>
        <v>60</v>
      </c>
    </row>
    <row r="98" spans="1:8" x14ac:dyDescent="0.2">
      <c r="A98" s="254">
        <v>5</v>
      </c>
      <c r="B98" s="254" t="s">
        <v>301</v>
      </c>
      <c r="C98" s="86"/>
      <c r="D98" s="86"/>
      <c r="E98" s="255">
        <v>9000</v>
      </c>
      <c r="F98" s="87" t="s">
        <v>69</v>
      </c>
      <c r="G98" s="254">
        <v>1.4999999999999999E-2</v>
      </c>
      <c r="H98" s="247">
        <f t="shared" si="2"/>
        <v>135</v>
      </c>
    </row>
    <row r="99" spans="1:8" x14ac:dyDescent="0.2">
      <c r="A99" s="254">
        <v>6</v>
      </c>
      <c r="B99" s="254" t="s">
        <v>302</v>
      </c>
      <c r="C99" s="86"/>
      <c r="D99" s="248"/>
      <c r="E99" s="255">
        <v>10000</v>
      </c>
      <c r="F99" s="87" t="s">
        <v>69</v>
      </c>
      <c r="G99" s="254">
        <v>5.0000000000000001E-3</v>
      </c>
      <c r="H99" s="92">
        <f t="shared" si="2"/>
        <v>50</v>
      </c>
    </row>
    <row r="100" spans="1:8" x14ac:dyDescent="0.2">
      <c r="A100" s="254">
        <v>7</v>
      </c>
      <c r="B100" s="254" t="s">
        <v>282</v>
      </c>
      <c r="C100" s="86"/>
      <c r="D100" s="86"/>
      <c r="E100" s="255">
        <v>6000</v>
      </c>
      <c r="F100" s="87" t="s">
        <v>69</v>
      </c>
      <c r="G100" s="254">
        <v>1.4999999999999999E-2</v>
      </c>
      <c r="H100" s="92">
        <f t="shared" si="2"/>
        <v>90</v>
      </c>
    </row>
    <row r="101" spans="1:8" ht="25.5" x14ac:dyDescent="0.2">
      <c r="A101" s="254">
        <v>8</v>
      </c>
      <c r="B101" s="254" t="s">
        <v>309</v>
      </c>
      <c r="C101" s="86"/>
      <c r="D101" s="86"/>
      <c r="E101" s="255">
        <v>35000</v>
      </c>
      <c r="F101" s="87" t="s">
        <v>69</v>
      </c>
      <c r="G101" s="254">
        <v>8.0000000000000002E-3</v>
      </c>
      <c r="H101" s="92">
        <f t="shared" si="2"/>
        <v>280</v>
      </c>
    </row>
    <row r="102" spans="1:8" x14ac:dyDescent="0.2">
      <c r="A102" s="254">
        <v>9</v>
      </c>
      <c r="B102" s="254" t="s">
        <v>284</v>
      </c>
      <c r="C102" s="86"/>
      <c r="D102" s="86"/>
      <c r="E102" s="255">
        <v>15000</v>
      </c>
      <c r="F102" s="87"/>
      <c r="G102" s="254">
        <v>5.0000000000000001E-3</v>
      </c>
      <c r="H102" s="92">
        <f t="shared" si="2"/>
        <v>75</v>
      </c>
    </row>
    <row r="103" spans="1:8" x14ac:dyDescent="0.2">
      <c r="A103" s="254">
        <v>10</v>
      </c>
      <c r="B103" s="254" t="s">
        <v>285</v>
      </c>
      <c r="C103" s="86"/>
      <c r="D103" s="86"/>
      <c r="E103" s="255">
        <v>50000</v>
      </c>
      <c r="F103" s="87"/>
      <c r="G103" s="254">
        <v>2E-3</v>
      </c>
      <c r="H103" s="92">
        <f t="shared" si="2"/>
        <v>100</v>
      </c>
    </row>
    <row r="104" spans="1:8" x14ac:dyDescent="0.2">
      <c r="A104" s="254">
        <v>11</v>
      </c>
      <c r="B104" s="254" t="s">
        <v>109</v>
      </c>
      <c r="C104" s="86"/>
      <c r="D104" s="86"/>
      <c r="E104" s="255">
        <v>3000</v>
      </c>
      <c r="F104" s="87"/>
      <c r="G104" s="254">
        <v>2E-3</v>
      </c>
      <c r="H104" s="92">
        <f t="shared" si="2"/>
        <v>6</v>
      </c>
    </row>
    <row r="105" spans="1:8" x14ac:dyDescent="0.2">
      <c r="A105" s="210"/>
      <c r="B105" s="210"/>
      <c r="C105" s="210"/>
      <c r="D105" s="210"/>
      <c r="E105" s="210"/>
      <c r="F105" s="211"/>
      <c r="G105" s="210"/>
      <c r="H105" s="212">
        <f>SUM(H93:H104)</f>
        <v>11740</v>
      </c>
    </row>
    <row r="106" spans="1:8" x14ac:dyDescent="0.2">
      <c r="F106" s="88"/>
    </row>
    <row r="107" spans="1:8" x14ac:dyDescent="0.2">
      <c r="F107" s="88"/>
    </row>
    <row r="108" spans="1:8" x14ac:dyDescent="0.2">
      <c r="A108" s="86"/>
      <c r="B108" s="86" t="s">
        <v>292</v>
      </c>
      <c r="C108" s="92">
        <v>1</v>
      </c>
      <c r="D108" s="213">
        <v>100000</v>
      </c>
      <c r="E108" s="86"/>
      <c r="F108" s="87"/>
      <c r="G108" s="86"/>
      <c r="H108" s="213">
        <f>+D108*C108</f>
        <v>100000</v>
      </c>
    </row>
    <row r="109" spans="1:8" x14ac:dyDescent="0.2">
      <c r="A109" s="86"/>
      <c r="B109" s="86" t="s">
        <v>293</v>
      </c>
      <c r="C109" s="92">
        <v>1</v>
      </c>
      <c r="D109" s="213">
        <v>100000</v>
      </c>
      <c r="E109" s="86"/>
      <c r="F109" s="87"/>
      <c r="G109" s="86"/>
      <c r="H109" s="213">
        <f>+D109*C109</f>
        <v>100000</v>
      </c>
    </row>
    <row r="110" spans="1:8" x14ac:dyDescent="0.2">
      <c r="A110" s="86"/>
      <c r="B110" s="86" t="s">
        <v>294</v>
      </c>
      <c r="C110" s="249">
        <v>1</v>
      </c>
      <c r="D110" s="213">
        <v>100000</v>
      </c>
      <c r="E110" s="86"/>
      <c r="F110" s="87"/>
      <c r="G110" s="86"/>
      <c r="H110" s="213">
        <f>+D110*C110</f>
        <v>100000</v>
      </c>
    </row>
    <row r="111" spans="1:8" x14ac:dyDescent="0.2">
      <c r="A111" s="86"/>
      <c r="B111" s="86" t="s">
        <v>295</v>
      </c>
      <c r="C111" s="92">
        <v>1</v>
      </c>
      <c r="D111" s="213">
        <v>100000</v>
      </c>
      <c r="E111" s="86"/>
      <c r="F111" s="87"/>
      <c r="G111" s="86"/>
      <c r="H111" s="213">
        <f>+D111*C111</f>
        <v>100000</v>
      </c>
    </row>
    <row r="112" spans="1:8" x14ac:dyDescent="0.2">
      <c r="A112" s="234"/>
      <c r="B112" s="234" t="s">
        <v>320</v>
      </c>
      <c r="C112" s="215">
        <v>1000</v>
      </c>
      <c r="D112" s="215"/>
      <c r="E112" s="234"/>
      <c r="F112" s="236"/>
      <c r="G112" s="234"/>
      <c r="H112" s="215">
        <f>SUM(H108:H111)</f>
        <v>400000</v>
      </c>
    </row>
    <row r="113" spans="1:8" x14ac:dyDescent="0.2">
      <c r="A113" s="210"/>
      <c r="B113" s="210"/>
      <c r="C113" s="215"/>
      <c r="D113" s="225"/>
      <c r="E113" s="210"/>
      <c r="F113" s="211"/>
      <c r="G113" s="210"/>
      <c r="H113" s="226">
        <f>+H112/C112</f>
        <v>400</v>
      </c>
    </row>
    <row r="114" spans="1:8" x14ac:dyDescent="0.2">
      <c r="F114" s="88"/>
    </row>
    <row r="115" spans="1:8" x14ac:dyDescent="0.2">
      <c r="A115" s="86"/>
      <c r="B115" s="86" t="s">
        <v>86</v>
      </c>
      <c r="C115" s="213">
        <v>70000000</v>
      </c>
      <c r="D115" s="92">
        <f>+C115/26</f>
        <v>2692307.6923076925</v>
      </c>
      <c r="E115" s="86">
        <f>+D115/2</f>
        <v>1346153.8461538462</v>
      </c>
      <c r="F115" s="87"/>
      <c r="G115" s="86"/>
      <c r="H115" s="93">
        <f>+E115/400</f>
        <v>3365.3846153846157</v>
      </c>
    </row>
    <row r="116" spans="1:8" x14ac:dyDescent="0.2">
      <c r="F116" s="88"/>
    </row>
    <row r="117" spans="1:8" x14ac:dyDescent="0.2">
      <c r="F117" s="88"/>
      <c r="G117" s="89" t="s">
        <v>88</v>
      </c>
      <c r="H117" s="217">
        <f>+H91+H105+H113+H115</f>
        <v>16955.384615384617</v>
      </c>
    </row>
    <row r="118" spans="1:8" x14ac:dyDescent="0.2">
      <c r="F118" s="251"/>
      <c r="G118" s="94"/>
      <c r="H118" s="94"/>
    </row>
    <row r="119" spans="1:8" x14ac:dyDescent="0.2">
      <c r="F119" s="88"/>
      <c r="G119" s="95" t="s">
        <v>91</v>
      </c>
      <c r="H119" s="218">
        <f>+H117*0.3</f>
        <v>5086.6153846153848</v>
      </c>
    </row>
    <row r="120" spans="1:8" x14ac:dyDescent="0.2">
      <c r="F120" s="88"/>
      <c r="G120" s="95" t="s">
        <v>93</v>
      </c>
      <c r="H120" s="217">
        <f>+H117+H119</f>
        <v>22042</v>
      </c>
    </row>
    <row r="121" spans="1:8" x14ac:dyDescent="0.2">
      <c r="F121" s="251"/>
      <c r="G121" s="94" t="s">
        <v>95</v>
      </c>
      <c r="H121" s="252">
        <f>+H120*0.1</f>
        <v>2204.2000000000003</v>
      </c>
    </row>
    <row r="122" spans="1:8" x14ac:dyDescent="0.2">
      <c r="F122" s="88"/>
      <c r="G122" s="89" t="s">
        <v>96</v>
      </c>
      <c r="H122" s="216">
        <f>+H120+H121</f>
        <v>24246.2</v>
      </c>
    </row>
    <row r="123" spans="1:8" x14ac:dyDescent="0.2">
      <c r="H123" s="91">
        <f>+H122*0.32</f>
        <v>7758.7840000000006</v>
      </c>
    </row>
    <row r="124" spans="1:8" x14ac:dyDescent="0.2">
      <c r="F124" s="94"/>
      <c r="G124" s="94"/>
      <c r="H124" s="253">
        <f>+H122+H123</f>
        <v>32004.984</v>
      </c>
    </row>
    <row r="127" spans="1:8" x14ac:dyDescent="0.2">
      <c r="C127" s="462" t="s">
        <v>304</v>
      </c>
      <c r="D127" s="462"/>
      <c r="E127" s="462"/>
      <c r="F127" s="462"/>
    </row>
    <row r="128" spans="1:8" x14ac:dyDescent="0.2">
      <c r="F128" s="88"/>
    </row>
    <row r="129" spans="1:8" x14ac:dyDescent="0.2">
      <c r="E129" s="80" t="s">
        <v>56</v>
      </c>
      <c r="F129" s="88"/>
      <c r="G129" s="80" t="s">
        <v>57</v>
      </c>
      <c r="H129" s="80" t="s">
        <v>55</v>
      </c>
    </row>
    <row r="130" spans="1:8" x14ac:dyDescent="0.2">
      <c r="A130" s="86">
        <v>1</v>
      </c>
      <c r="B130" s="86" t="s">
        <v>287</v>
      </c>
      <c r="C130" s="86"/>
      <c r="D130" s="86"/>
      <c r="E130" s="86">
        <v>1000</v>
      </c>
      <c r="F130" s="87" t="s">
        <v>60</v>
      </c>
      <c r="G130" s="86">
        <v>1</v>
      </c>
      <c r="H130" s="86">
        <f>+E130*G130</f>
        <v>1000</v>
      </c>
    </row>
    <row r="131" spans="1:8" x14ac:dyDescent="0.2">
      <c r="A131" s="86">
        <v>2</v>
      </c>
      <c r="B131" s="86" t="s">
        <v>288</v>
      </c>
      <c r="C131" s="86"/>
      <c r="D131" s="86" t="s">
        <v>289</v>
      </c>
      <c r="E131" s="86">
        <v>450</v>
      </c>
      <c r="F131" s="87" t="s">
        <v>60</v>
      </c>
      <c r="G131" s="86">
        <v>1</v>
      </c>
      <c r="H131" s="86">
        <f>+G131*E131</f>
        <v>450</v>
      </c>
    </row>
    <row r="132" spans="1:8" x14ac:dyDescent="0.2">
      <c r="A132" s="86"/>
      <c r="B132" s="86"/>
      <c r="C132" s="86"/>
      <c r="D132" s="86"/>
      <c r="E132" s="86"/>
      <c r="F132" s="87"/>
      <c r="G132" s="86"/>
      <c r="H132" s="86"/>
    </row>
    <row r="133" spans="1:8" x14ac:dyDescent="0.2">
      <c r="A133" s="86"/>
      <c r="B133" s="86"/>
      <c r="C133" s="86"/>
      <c r="D133" s="86"/>
      <c r="E133" s="86"/>
      <c r="F133" s="87"/>
      <c r="G133" s="86"/>
      <c r="H133" s="86"/>
    </row>
    <row r="134" spans="1:8" x14ac:dyDescent="0.2">
      <c r="A134" s="210"/>
      <c r="B134" s="210"/>
      <c r="C134" s="210"/>
      <c r="D134" s="210"/>
      <c r="E134" s="210"/>
      <c r="F134" s="211"/>
      <c r="G134" s="210"/>
      <c r="H134" s="89">
        <f>+H130+H131+H132+H133</f>
        <v>1450</v>
      </c>
    </row>
    <row r="135" spans="1:8" x14ac:dyDescent="0.2">
      <c r="F135" s="88"/>
    </row>
    <row r="136" spans="1:8" x14ac:dyDescent="0.2">
      <c r="A136" s="86">
        <v>1</v>
      </c>
      <c r="B136" s="254" t="s">
        <v>300</v>
      </c>
      <c r="C136" s="86"/>
      <c r="D136" s="86"/>
      <c r="E136" s="255">
        <v>8000</v>
      </c>
      <c r="F136" s="87" t="s">
        <v>69</v>
      </c>
      <c r="G136" s="254">
        <v>0.85</v>
      </c>
      <c r="H136" s="92">
        <f t="shared" ref="H136:H143" si="3">+G136*E136</f>
        <v>6800</v>
      </c>
    </row>
    <row r="137" spans="1:8" x14ac:dyDescent="0.2">
      <c r="A137" s="86">
        <v>2</v>
      </c>
      <c r="B137" s="254" t="s">
        <v>298</v>
      </c>
      <c r="C137" s="86"/>
      <c r="D137" s="86"/>
      <c r="E137" s="255">
        <v>16000</v>
      </c>
      <c r="F137" s="87" t="s">
        <v>69</v>
      </c>
      <c r="G137" s="254">
        <v>0.08</v>
      </c>
      <c r="H137" s="92">
        <f t="shared" si="3"/>
        <v>1280</v>
      </c>
    </row>
    <row r="138" spans="1:8" x14ac:dyDescent="0.2">
      <c r="A138" s="86">
        <v>4</v>
      </c>
      <c r="B138" s="254" t="s">
        <v>175</v>
      </c>
      <c r="C138" s="86"/>
      <c r="D138" s="86"/>
      <c r="E138" s="255">
        <v>3000</v>
      </c>
      <c r="F138" s="87" t="s">
        <v>69</v>
      </c>
      <c r="G138" s="254">
        <v>0.03</v>
      </c>
      <c r="H138" s="92">
        <f t="shared" si="3"/>
        <v>90</v>
      </c>
    </row>
    <row r="139" spans="1:8" x14ac:dyDescent="0.2">
      <c r="A139" s="86">
        <v>5</v>
      </c>
      <c r="B139" s="254" t="s">
        <v>301</v>
      </c>
      <c r="C139" s="86"/>
      <c r="D139" s="86"/>
      <c r="E139" s="255">
        <v>9000</v>
      </c>
      <c r="F139" s="87" t="s">
        <v>72</v>
      </c>
      <c r="G139" s="254">
        <v>0.01</v>
      </c>
      <c r="H139" s="92">
        <f t="shared" si="3"/>
        <v>90</v>
      </c>
    </row>
    <row r="140" spans="1:8" x14ac:dyDescent="0.2">
      <c r="A140" s="86">
        <v>6</v>
      </c>
      <c r="B140" s="254" t="s">
        <v>302</v>
      </c>
      <c r="C140" s="86"/>
      <c r="D140" s="86"/>
      <c r="E140" s="255">
        <v>10000</v>
      </c>
      <c r="F140" s="87" t="s">
        <v>69</v>
      </c>
      <c r="G140" s="254">
        <v>0.01</v>
      </c>
      <c r="H140" s="247">
        <f t="shared" si="3"/>
        <v>100</v>
      </c>
    </row>
    <row r="141" spans="1:8" x14ac:dyDescent="0.2">
      <c r="A141" s="86">
        <v>7</v>
      </c>
      <c r="B141" s="254" t="s">
        <v>299</v>
      </c>
      <c r="C141" s="86"/>
      <c r="D141" s="248"/>
      <c r="E141" s="255">
        <v>18000</v>
      </c>
      <c r="F141" s="87" t="s">
        <v>69</v>
      </c>
      <c r="G141" s="254">
        <v>0.01</v>
      </c>
      <c r="H141" s="92">
        <f t="shared" si="3"/>
        <v>180</v>
      </c>
    </row>
    <row r="142" spans="1:8" x14ac:dyDescent="0.2">
      <c r="A142" s="86">
        <v>8</v>
      </c>
      <c r="B142" s="254" t="s">
        <v>303</v>
      </c>
      <c r="C142" s="86"/>
      <c r="D142" s="86"/>
      <c r="E142" s="255">
        <v>6000</v>
      </c>
      <c r="F142" s="87" t="s">
        <v>69</v>
      </c>
      <c r="G142" s="254">
        <v>7.0000000000000001E-3</v>
      </c>
      <c r="H142" s="92">
        <f t="shared" si="3"/>
        <v>42</v>
      </c>
    </row>
    <row r="143" spans="1:8" x14ac:dyDescent="0.2">
      <c r="A143" s="86">
        <v>9</v>
      </c>
      <c r="B143" s="254" t="s">
        <v>284</v>
      </c>
      <c r="C143" s="86"/>
      <c r="D143" s="86"/>
      <c r="E143" s="255">
        <v>15000</v>
      </c>
      <c r="F143" s="87" t="s">
        <v>69</v>
      </c>
      <c r="G143" s="254">
        <v>3.0000000000000001E-3</v>
      </c>
      <c r="H143" s="92">
        <f t="shared" si="3"/>
        <v>45</v>
      </c>
    </row>
    <row r="144" spans="1:8" x14ac:dyDescent="0.2">
      <c r="A144" s="210"/>
      <c r="B144" s="210"/>
      <c r="C144" s="210"/>
      <c r="D144" s="210"/>
      <c r="E144" s="210"/>
      <c r="F144" s="211"/>
      <c r="G144" s="210"/>
      <c r="H144" s="212">
        <f>SUM(H136:H143)</f>
        <v>8627</v>
      </c>
    </row>
    <row r="145" spans="1:8" x14ac:dyDescent="0.2">
      <c r="F145" s="88"/>
    </row>
    <row r="146" spans="1:8" x14ac:dyDescent="0.2">
      <c r="F146" s="88"/>
    </row>
    <row r="147" spans="1:8" x14ac:dyDescent="0.2">
      <c r="A147" s="86"/>
      <c r="B147" s="86" t="s">
        <v>292</v>
      </c>
      <c r="C147" s="92">
        <v>1</v>
      </c>
      <c r="D147" s="213">
        <v>100000</v>
      </c>
      <c r="E147" s="86"/>
      <c r="F147" s="87"/>
      <c r="G147" s="86"/>
      <c r="H147" s="213">
        <f>+D147*C147</f>
        <v>100000</v>
      </c>
    </row>
    <row r="148" spans="1:8" x14ac:dyDescent="0.2">
      <c r="A148" s="86"/>
      <c r="B148" s="86" t="s">
        <v>293</v>
      </c>
      <c r="C148" s="92">
        <v>1</v>
      </c>
      <c r="D148" s="213">
        <v>100000</v>
      </c>
      <c r="E148" s="86"/>
      <c r="F148" s="87"/>
      <c r="G148" s="86"/>
      <c r="H148" s="213">
        <f>+D148*C148</f>
        <v>100000</v>
      </c>
    </row>
    <row r="149" spans="1:8" x14ac:dyDescent="0.2">
      <c r="A149" s="86"/>
      <c r="B149" s="86" t="s">
        <v>294</v>
      </c>
      <c r="C149" s="249">
        <v>1</v>
      </c>
      <c r="D149" s="213">
        <v>100000</v>
      </c>
      <c r="E149" s="86"/>
      <c r="F149" s="87"/>
      <c r="G149" s="86"/>
      <c r="H149" s="213">
        <f>+D149*C149</f>
        <v>100000</v>
      </c>
    </row>
    <row r="150" spans="1:8" x14ac:dyDescent="0.2">
      <c r="A150" s="86"/>
      <c r="B150" s="86" t="s">
        <v>295</v>
      </c>
      <c r="C150" s="92">
        <v>1</v>
      </c>
      <c r="D150" s="213">
        <v>100000</v>
      </c>
      <c r="E150" s="86"/>
      <c r="F150" s="87"/>
      <c r="G150" s="86"/>
      <c r="H150" s="213">
        <f>+D150*C150</f>
        <v>100000</v>
      </c>
    </row>
    <row r="151" spans="1:8" x14ac:dyDescent="0.2">
      <c r="A151" s="234"/>
      <c r="B151" s="234" t="s">
        <v>320</v>
      </c>
      <c r="C151" s="215">
        <v>1000</v>
      </c>
      <c r="D151" s="215"/>
      <c r="E151" s="234"/>
      <c r="F151" s="236"/>
      <c r="G151" s="234"/>
      <c r="H151" s="215">
        <f>SUM(H147:H150)</f>
        <v>400000</v>
      </c>
    </row>
    <row r="152" spans="1:8" x14ac:dyDescent="0.2">
      <c r="A152" s="210"/>
      <c r="B152" s="210"/>
      <c r="C152" s="215"/>
      <c r="D152" s="225"/>
      <c r="E152" s="210"/>
      <c r="F152" s="211"/>
      <c r="G152" s="210"/>
      <c r="H152" s="226">
        <f>+H151/C151</f>
        <v>400</v>
      </c>
    </row>
    <row r="153" spans="1:8" x14ac:dyDescent="0.2">
      <c r="F153" s="88"/>
    </row>
    <row r="154" spans="1:8" x14ac:dyDescent="0.2">
      <c r="A154" s="86"/>
      <c r="B154" s="86" t="s">
        <v>86</v>
      </c>
      <c r="C154" s="213">
        <v>70000000</v>
      </c>
      <c r="D154" s="92">
        <f>+C154/26</f>
        <v>2692307.6923076925</v>
      </c>
      <c r="E154" s="86">
        <f>+D154/2</f>
        <v>1346153.8461538462</v>
      </c>
      <c r="F154" s="87"/>
      <c r="G154" s="86"/>
      <c r="H154" s="93">
        <f>+E154/400</f>
        <v>3365.3846153846157</v>
      </c>
    </row>
    <row r="155" spans="1:8" x14ac:dyDescent="0.2">
      <c r="F155" s="88"/>
    </row>
    <row r="156" spans="1:8" x14ac:dyDescent="0.2">
      <c r="F156" s="88"/>
      <c r="G156" s="89" t="s">
        <v>88</v>
      </c>
      <c r="H156" s="217">
        <f>+H134+H144+H152+H154</f>
        <v>13842.384615384615</v>
      </c>
    </row>
    <row r="157" spans="1:8" x14ac:dyDescent="0.2">
      <c r="F157" s="251"/>
      <c r="G157" s="94"/>
      <c r="H157" s="94"/>
    </row>
    <row r="158" spans="1:8" x14ac:dyDescent="0.2">
      <c r="F158" s="88"/>
      <c r="G158" s="95" t="s">
        <v>91</v>
      </c>
      <c r="H158" s="218">
        <f>+H156*0.3</f>
        <v>4152.7153846153842</v>
      </c>
    </row>
    <row r="159" spans="1:8" x14ac:dyDescent="0.2">
      <c r="F159" s="88"/>
      <c r="G159" s="95" t="s">
        <v>93</v>
      </c>
      <c r="H159" s="217">
        <f>+H156+H158</f>
        <v>17995.099999999999</v>
      </c>
    </row>
    <row r="160" spans="1:8" x14ac:dyDescent="0.2">
      <c r="F160" s="251"/>
      <c r="G160" s="94" t="s">
        <v>95</v>
      </c>
      <c r="H160" s="252">
        <f>+H159*0.1</f>
        <v>1799.51</v>
      </c>
    </row>
    <row r="161" spans="6:8" x14ac:dyDescent="0.2">
      <c r="F161" s="88"/>
      <c r="G161" s="89" t="s">
        <v>96</v>
      </c>
      <c r="H161" s="216">
        <f>+H159+H160</f>
        <v>19794.609999999997</v>
      </c>
    </row>
    <row r="162" spans="6:8" x14ac:dyDescent="0.2">
      <c r="H162" s="91">
        <f>+H161*0.32</f>
        <v>6334.2751999999991</v>
      </c>
    </row>
    <row r="163" spans="6:8" x14ac:dyDescent="0.2">
      <c r="F163" s="94"/>
      <c r="G163" s="94"/>
      <c r="H163" s="253">
        <f>+H161+H162</f>
        <v>26128.885199999997</v>
      </c>
    </row>
  </sheetData>
  <mergeCells count="3">
    <mergeCell ref="C4:F4"/>
    <mergeCell ref="C46:F46"/>
    <mergeCell ref="C127:F127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FB2CF-96F7-4E19-9E94-8B8F5631BAE1}">
  <dimension ref="C2:S34"/>
  <sheetViews>
    <sheetView zoomScale="79" workbookViewId="0">
      <selection activeCell="F30" sqref="F30"/>
    </sheetView>
  </sheetViews>
  <sheetFormatPr defaultRowHeight="15" x14ac:dyDescent="0.25"/>
  <cols>
    <col min="3" max="3" width="2" bestFit="1" customWidth="1"/>
    <col min="4" max="4" width="18.28515625" style="30" bestFit="1" customWidth="1"/>
    <col min="5" max="5" width="17.7109375" style="30" customWidth="1"/>
    <col min="6" max="6" width="14.7109375" style="30" customWidth="1"/>
    <col min="7" max="7" width="8.7109375" style="30" bestFit="1" customWidth="1"/>
    <col min="8" max="8" width="3.85546875" style="30" bestFit="1" customWidth="1"/>
    <col min="9" max="9" width="13.85546875" style="30" bestFit="1" customWidth="1"/>
    <col min="10" max="10" width="9.7109375" style="30" bestFit="1" customWidth="1"/>
    <col min="11" max="11" width="12.28515625" bestFit="1" customWidth="1"/>
    <col min="12" max="12" width="2" bestFit="1" customWidth="1"/>
    <col min="13" max="13" width="16.85546875" bestFit="1" customWidth="1"/>
    <col min="14" max="14" width="15.85546875" customWidth="1"/>
    <col min="15" max="15" width="12.28515625" customWidth="1"/>
    <col min="16" max="16" width="12" bestFit="1" customWidth="1"/>
    <col min="17" max="17" width="4.28515625" customWidth="1"/>
    <col min="18" max="18" width="12.42578125" bestFit="1" customWidth="1"/>
    <col min="19" max="19" width="8.42578125" bestFit="1" customWidth="1"/>
  </cols>
  <sheetData>
    <row r="2" spans="3:19" x14ac:dyDescent="0.25">
      <c r="D2" s="30">
        <v>14000</v>
      </c>
      <c r="E2" s="30">
        <v>12000</v>
      </c>
    </row>
    <row r="3" spans="3:19" x14ac:dyDescent="0.25">
      <c r="D3" s="30">
        <f>+D2/0.73</f>
        <v>19178.082191780821</v>
      </c>
      <c r="E3" s="30">
        <f>+E2/0.73</f>
        <v>16438.356164383564</v>
      </c>
    </row>
    <row r="7" spans="3:19" ht="18.75" x14ac:dyDescent="0.3">
      <c r="D7" s="463" t="s">
        <v>141</v>
      </c>
      <c r="E7" s="463"/>
      <c r="F7" s="463"/>
      <c r="G7" s="39">
        <v>1200</v>
      </c>
      <c r="H7" s="39" t="s">
        <v>60</v>
      </c>
      <c r="M7" s="464" t="s">
        <v>142</v>
      </c>
      <c r="N7" s="464"/>
      <c r="O7" s="464"/>
      <c r="P7" s="40">
        <v>2000</v>
      </c>
      <c r="Q7" s="40" t="s">
        <v>60</v>
      </c>
    </row>
    <row r="8" spans="3:19" x14ac:dyDescent="0.25">
      <c r="H8" s="31"/>
      <c r="Q8" s="4"/>
    </row>
    <row r="9" spans="3:19" x14ac:dyDescent="0.25">
      <c r="G9" s="30" t="s">
        <v>56</v>
      </c>
      <c r="H9" s="31"/>
      <c r="I9" s="30" t="s">
        <v>57</v>
      </c>
      <c r="J9" s="30" t="s">
        <v>55</v>
      </c>
      <c r="P9" t="s">
        <v>56</v>
      </c>
      <c r="Q9" s="4"/>
      <c r="R9" t="s">
        <v>57</v>
      </c>
      <c r="S9" t="s">
        <v>55</v>
      </c>
    </row>
    <row r="10" spans="3:19" ht="45" x14ac:dyDescent="0.25">
      <c r="C10" s="2"/>
      <c r="D10" s="13" t="s">
        <v>143</v>
      </c>
      <c r="E10" s="37" t="s">
        <v>144</v>
      </c>
      <c r="F10" s="13"/>
      <c r="G10" s="13"/>
      <c r="H10" s="32" t="s">
        <v>60</v>
      </c>
      <c r="I10" s="13">
        <v>1</v>
      </c>
      <c r="J10" s="14">
        <v>1250</v>
      </c>
      <c r="L10" s="2"/>
      <c r="M10" s="2" t="s">
        <v>143</v>
      </c>
      <c r="N10" s="38" t="s">
        <v>145</v>
      </c>
      <c r="O10" s="2"/>
      <c r="P10" s="2"/>
      <c r="Q10" s="5" t="s">
        <v>60</v>
      </c>
      <c r="R10" s="2">
        <v>1</v>
      </c>
      <c r="S10" s="15">
        <v>1100</v>
      </c>
    </row>
    <row r="11" spans="3:19" x14ac:dyDescent="0.25">
      <c r="H11" s="31"/>
      <c r="Q11" s="4"/>
    </row>
    <row r="12" spans="3:19" x14ac:dyDescent="0.25">
      <c r="C12" s="2"/>
      <c r="D12" s="13" t="s">
        <v>134</v>
      </c>
      <c r="E12" s="13" t="s">
        <v>135</v>
      </c>
      <c r="F12" s="13" t="s">
        <v>146</v>
      </c>
      <c r="G12" s="13">
        <v>16450</v>
      </c>
      <c r="H12" s="32" t="s">
        <v>60</v>
      </c>
      <c r="I12" s="9">
        <v>0.41</v>
      </c>
      <c r="J12" s="13">
        <f>+G12*0.395</f>
        <v>6497.75</v>
      </c>
      <c r="L12" s="2"/>
      <c r="M12" s="2" t="s">
        <v>134</v>
      </c>
      <c r="N12" s="2" t="s">
        <v>135</v>
      </c>
      <c r="O12" s="2" t="s">
        <v>146</v>
      </c>
      <c r="P12" s="2">
        <v>19200</v>
      </c>
      <c r="Q12" s="5" t="s">
        <v>60</v>
      </c>
      <c r="R12" s="2">
        <v>0.35</v>
      </c>
      <c r="S12" s="2">
        <f>+P12*0.33</f>
        <v>6336</v>
      </c>
    </row>
    <row r="13" spans="3:19" x14ac:dyDescent="0.25">
      <c r="C13" s="2"/>
      <c r="D13" s="13" t="s">
        <v>136</v>
      </c>
      <c r="E13" s="13"/>
      <c r="F13" s="13"/>
      <c r="G13" s="13"/>
      <c r="H13" s="32"/>
      <c r="I13" s="13"/>
      <c r="J13" s="13">
        <f>+J12*0.15</f>
        <v>974.66249999999991</v>
      </c>
      <c r="L13" s="2"/>
      <c r="M13" s="2" t="s">
        <v>136</v>
      </c>
      <c r="N13" s="2"/>
      <c r="O13" s="2"/>
      <c r="P13" s="2"/>
      <c r="Q13" s="5"/>
      <c r="R13" s="2"/>
      <c r="S13" s="2">
        <f>+S12*0.15</f>
        <v>950.4</v>
      </c>
    </row>
    <row r="14" spans="3:19" x14ac:dyDescent="0.25">
      <c r="C14" s="2"/>
      <c r="D14" s="13" t="s">
        <v>12</v>
      </c>
      <c r="E14" s="13"/>
      <c r="F14" s="13"/>
      <c r="G14" s="13"/>
      <c r="H14" s="32"/>
      <c r="I14" s="13"/>
      <c r="J14" s="13"/>
      <c r="L14" s="2"/>
      <c r="M14" s="2" t="s">
        <v>12</v>
      </c>
      <c r="N14" s="2"/>
      <c r="O14" s="2"/>
      <c r="P14" s="2"/>
      <c r="Q14" s="5"/>
      <c r="R14" s="2"/>
      <c r="S14" s="2"/>
    </row>
    <row r="15" spans="3:19" x14ac:dyDescent="0.25">
      <c r="C15" s="2"/>
      <c r="D15" s="13" t="s">
        <v>70</v>
      </c>
      <c r="E15" s="13"/>
      <c r="F15" s="13"/>
      <c r="G15" s="13">
        <v>60000</v>
      </c>
      <c r="H15" s="32" t="s">
        <v>69</v>
      </c>
      <c r="I15" s="13"/>
      <c r="J15" s="13"/>
      <c r="L15" s="2"/>
      <c r="M15" s="2" t="s">
        <v>70</v>
      </c>
      <c r="N15" s="2"/>
      <c r="O15" s="2"/>
      <c r="P15" s="2">
        <v>60000</v>
      </c>
      <c r="Q15" s="5" t="s">
        <v>69</v>
      </c>
      <c r="R15" s="2"/>
      <c r="S15" s="2"/>
    </row>
    <row r="16" spans="3:19" x14ac:dyDescent="0.25">
      <c r="C16" s="2"/>
      <c r="D16" s="13" t="s">
        <v>71</v>
      </c>
      <c r="E16" s="13"/>
      <c r="F16" s="13"/>
      <c r="G16" s="13">
        <v>40000</v>
      </c>
      <c r="H16" s="32" t="s">
        <v>69</v>
      </c>
      <c r="I16" s="13"/>
      <c r="J16" s="13"/>
      <c r="L16" s="2"/>
      <c r="M16" s="2" t="s">
        <v>71</v>
      </c>
      <c r="N16" s="2"/>
      <c r="O16" s="2"/>
      <c r="P16" s="2">
        <v>40000</v>
      </c>
      <c r="Q16" s="5" t="s">
        <v>69</v>
      </c>
      <c r="R16" s="2"/>
      <c r="S16" s="2"/>
    </row>
    <row r="17" spans="3:19" x14ac:dyDescent="0.25">
      <c r="C17" s="2"/>
      <c r="D17" s="13" t="s">
        <v>17</v>
      </c>
      <c r="E17" s="13"/>
      <c r="F17" s="13"/>
      <c r="G17" s="13">
        <v>2</v>
      </c>
      <c r="H17" s="32" t="s">
        <v>72</v>
      </c>
      <c r="I17" s="13"/>
      <c r="J17" s="13"/>
      <c r="L17" s="2"/>
      <c r="M17" s="2" t="s">
        <v>17</v>
      </c>
      <c r="N17" s="2"/>
      <c r="O17" s="2"/>
      <c r="P17" s="2">
        <v>2</v>
      </c>
      <c r="Q17" s="5" t="s">
        <v>72</v>
      </c>
      <c r="R17" s="2"/>
      <c r="S17" s="2"/>
    </row>
    <row r="18" spans="3:19" x14ac:dyDescent="0.25">
      <c r="C18" s="3"/>
      <c r="D18" s="33"/>
      <c r="E18" s="33"/>
      <c r="F18" s="33"/>
      <c r="G18" s="33"/>
      <c r="H18" s="34"/>
      <c r="I18" s="33"/>
      <c r="J18" s="8">
        <f>+J12+J13</f>
        <v>7472.4125000000004</v>
      </c>
      <c r="L18" s="3"/>
      <c r="M18" s="3"/>
      <c r="N18" s="3"/>
      <c r="O18" s="3"/>
      <c r="P18" s="3"/>
      <c r="Q18" s="6"/>
      <c r="R18" s="3"/>
      <c r="S18" s="8">
        <f>+S12+S13</f>
        <v>7286.4</v>
      </c>
    </row>
    <row r="19" spans="3:19" x14ac:dyDescent="0.25">
      <c r="H19" s="31"/>
      <c r="Q19" s="4"/>
    </row>
    <row r="20" spans="3:19" x14ac:dyDescent="0.25">
      <c r="C20" s="2"/>
      <c r="D20" s="13" t="s">
        <v>140</v>
      </c>
      <c r="E20" s="13">
        <v>100000</v>
      </c>
      <c r="F20" s="13">
        <f>+E20/1000</f>
        <v>100</v>
      </c>
      <c r="G20" s="13"/>
      <c r="H20" s="32"/>
      <c r="I20" s="13"/>
      <c r="J20" s="13"/>
      <c r="L20" s="2"/>
      <c r="M20" s="2" t="s">
        <v>140</v>
      </c>
      <c r="N20" s="9">
        <v>100000</v>
      </c>
      <c r="O20" s="9"/>
      <c r="P20" s="2"/>
      <c r="Q20" s="5"/>
      <c r="R20" s="2"/>
      <c r="S20" s="10">
        <f>+O20</f>
        <v>0</v>
      </c>
    </row>
    <row r="21" spans="3:19" x14ac:dyDescent="0.25">
      <c r="C21" s="2"/>
      <c r="D21" s="13" t="s">
        <v>139</v>
      </c>
      <c r="E21" s="13">
        <v>400000</v>
      </c>
      <c r="F21" s="13">
        <f>+E21/1000</f>
        <v>400</v>
      </c>
      <c r="G21" s="13"/>
      <c r="H21" s="32"/>
      <c r="I21" s="13"/>
      <c r="J21" s="13"/>
      <c r="L21" s="2"/>
      <c r="M21" s="2" t="s">
        <v>139</v>
      </c>
      <c r="N21" s="9">
        <v>400000</v>
      </c>
      <c r="O21" s="9"/>
      <c r="P21" s="2"/>
      <c r="Q21" s="5"/>
      <c r="R21" s="2"/>
      <c r="S21" s="10">
        <f>+O21</f>
        <v>0</v>
      </c>
    </row>
    <row r="22" spans="3:19" x14ac:dyDescent="0.25">
      <c r="C22" s="2"/>
      <c r="D22" s="13" t="s">
        <v>147</v>
      </c>
      <c r="E22" s="13">
        <v>300000</v>
      </c>
      <c r="F22" s="13">
        <f>+E22/1000</f>
        <v>300</v>
      </c>
      <c r="G22" s="13"/>
      <c r="H22" s="32"/>
      <c r="I22" s="13"/>
      <c r="J22" s="13"/>
      <c r="L22" s="2"/>
      <c r="M22" s="2" t="s">
        <v>147</v>
      </c>
      <c r="N22" s="9">
        <v>300000</v>
      </c>
      <c r="O22" s="2"/>
      <c r="P22" s="2"/>
      <c r="Q22" s="5"/>
      <c r="R22" s="2"/>
      <c r="S22" s="2">
        <v>300</v>
      </c>
    </row>
    <row r="23" spans="3:19" x14ac:dyDescent="0.25">
      <c r="C23" s="2"/>
      <c r="D23" s="13" t="s">
        <v>137</v>
      </c>
      <c r="E23" s="13">
        <v>100000</v>
      </c>
      <c r="F23" s="13">
        <f>+E23/1000</f>
        <v>100</v>
      </c>
      <c r="G23" s="13"/>
      <c r="H23" s="32"/>
      <c r="I23" s="13"/>
      <c r="J23" s="13"/>
      <c r="L23" s="2"/>
      <c r="M23" s="2" t="s">
        <v>137</v>
      </c>
      <c r="N23" s="9">
        <v>100000</v>
      </c>
      <c r="O23" s="2"/>
      <c r="P23" s="2"/>
      <c r="Q23" s="5"/>
      <c r="R23" s="2"/>
      <c r="S23" s="2">
        <v>540</v>
      </c>
    </row>
    <row r="24" spans="3:19" x14ac:dyDescent="0.25">
      <c r="C24" s="3"/>
      <c r="D24" s="33"/>
      <c r="E24" s="35">
        <v>900000</v>
      </c>
      <c r="F24" s="33">
        <f>+E24/1000</f>
        <v>900</v>
      </c>
      <c r="G24" s="33"/>
      <c r="H24" s="34"/>
      <c r="I24" s="33"/>
      <c r="J24" s="36">
        <f>+E24/G7</f>
        <v>750</v>
      </c>
      <c r="L24" s="3"/>
      <c r="M24" s="3"/>
      <c r="N24" s="11">
        <v>900000</v>
      </c>
      <c r="O24" s="3"/>
      <c r="P24" s="3"/>
      <c r="Q24" s="6"/>
      <c r="R24" s="3"/>
      <c r="S24" s="12">
        <f>+N24/P7</f>
        <v>450</v>
      </c>
    </row>
    <row r="25" spans="3:19" x14ac:dyDescent="0.25">
      <c r="H25" s="31"/>
      <c r="Q25" s="4"/>
    </row>
    <row r="26" spans="3:19" x14ac:dyDescent="0.25">
      <c r="C26" s="2"/>
      <c r="D26" s="13" t="s">
        <v>86</v>
      </c>
      <c r="E26" s="13">
        <v>70000000</v>
      </c>
      <c r="F26" s="13">
        <f>+E26/26</f>
        <v>2692307.6923076925</v>
      </c>
      <c r="G26" s="13"/>
      <c r="H26" s="32"/>
      <c r="I26" s="13"/>
      <c r="J26" s="14">
        <f>+F26/G7</f>
        <v>2243.5897435897436</v>
      </c>
      <c r="L26" s="2"/>
      <c r="M26" s="2" t="s">
        <v>86</v>
      </c>
      <c r="N26" s="9">
        <v>70000000</v>
      </c>
      <c r="O26" s="13">
        <f>+N26/26</f>
        <v>2692307.6923076925</v>
      </c>
      <c r="P26" s="2"/>
      <c r="Q26" s="5"/>
      <c r="R26" s="2"/>
      <c r="S26" s="14">
        <f>+O26/P7</f>
        <v>1346.1538461538462</v>
      </c>
    </row>
    <row r="27" spans="3:19" x14ac:dyDescent="0.25">
      <c r="H27" s="31"/>
      <c r="Q27" s="4"/>
    </row>
    <row r="28" spans="3:19" x14ac:dyDescent="0.25">
      <c r="E28" s="30" t="s">
        <v>87</v>
      </c>
      <c r="H28" s="31"/>
      <c r="I28" s="36" t="s">
        <v>88</v>
      </c>
      <c r="J28" s="14">
        <f>+J10+J18+J24+J26</f>
        <v>11716.002243589744</v>
      </c>
      <c r="N28" t="s">
        <v>87</v>
      </c>
      <c r="Q28" s="4"/>
      <c r="R28" s="7" t="s">
        <v>88</v>
      </c>
      <c r="S28" s="17">
        <f>+S10+S18+S24+S26</f>
        <v>10182.553846153845</v>
      </c>
    </row>
    <row r="29" spans="3:19" x14ac:dyDescent="0.25">
      <c r="E29" s="30" t="s">
        <v>89</v>
      </c>
      <c r="H29" s="31"/>
      <c r="N29" t="s">
        <v>89</v>
      </c>
      <c r="Q29" s="4"/>
      <c r="S29" s="18"/>
    </row>
    <row r="30" spans="3:19" x14ac:dyDescent="0.25">
      <c r="E30" s="30" t="s">
        <v>138</v>
      </c>
      <c r="H30" s="31"/>
      <c r="I30" s="14" t="s">
        <v>91</v>
      </c>
      <c r="J30" s="14">
        <f>+J28*0.3</f>
        <v>3514.8006730769234</v>
      </c>
      <c r="N30" t="s">
        <v>138</v>
      </c>
      <c r="Q30" s="4"/>
      <c r="R30" s="15" t="s">
        <v>91</v>
      </c>
      <c r="S30" s="17">
        <f>+S28*0.5</f>
        <v>5091.2769230769227</v>
      </c>
    </row>
    <row r="31" spans="3:19" x14ac:dyDescent="0.25">
      <c r="E31" s="30" t="s">
        <v>94</v>
      </c>
      <c r="H31" s="31"/>
      <c r="I31" s="14" t="s">
        <v>93</v>
      </c>
      <c r="J31" s="14">
        <f>+J28+J30</f>
        <v>15230.802916666667</v>
      </c>
      <c r="N31" t="s">
        <v>94</v>
      </c>
      <c r="Q31" s="4"/>
      <c r="R31" s="15" t="s">
        <v>93</v>
      </c>
      <c r="S31" s="17">
        <f>+S28+S30</f>
        <v>15273.830769230768</v>
      </c>
    </row>
    <row r="32" spans="3:19" x14ac:dyDescent="0.25">
      <c r="H32" s="31"/>
      <c r="I32" s="30" t="s">
        <v>95</v>
      </c>
      <c r="J32" s="30">
        <f>+J31*0.1</f>
        <v>1523.0802916666669</v>
      </c>
      <c r="Q32" s="4"/>
      <c r="R32" t="s">
        <v>95</v>
      </c>
      <c r="S32" s="18">
        <f>+S31*0.1</f>
        <v>1527.3830769230769</v>
      </c>
    </row>
    <row r="33" spans="8:19" x14ac:dyDescent="0.25">
      <c r="H33" s="31"/>
      <c r="I33" s="36" t="s">
        <v>96</v>
      </c>
      <c r="J33" s="36">
        <f>+J31+J32</f>
        <v>16753.883208333333</v>
      </c>
      <c r="Q33" s="4"/>
      <c r="R33" s="7" t="s">
        <v>96</v>
      </c>
      <c r="S33" s="12">
        <f>+S31+S32</f>
        <v>16801.213846153845</v>
      </c>
    </row>
    <row r="34" spans="8:19" x14ac:dyDescent="0.25">
      <c r="S34" s="18"/>
    </row>
  </sheetData>
  <mergeCells count="2">
    <mergeCell ref="D7:F7"/>
    <mergeCell ref="M7:O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42782-EE81-44D5-A8D4-24D985ABA870}">
  <dimension ref="A1:F3"/>
  <sheetViews>
    <sheetView workbookViewId="0">
      <selection activeCell="C26" sqref="C26"/>
    </sheetView>
  </sheetViews>
  <sheetFormatPr defaultColWidth="9" defaultRowHeight="12" x14ac:dyDescent="0.2"/>
  <cols>
    <col min="1" max="1" width="14.28515625" style="273" bestFit="1" customWidth="1"/>
    <col min="2" max="2" width="10.140625" style="273" bestFit="1" customWidth="1"/>
    <col min="3" max="3" width="22" style="273" bestFit="1" customWidth="1"/>
    <col min="4" max="4" width="15.85546875" style="273" bestFit="1" customWidth="1"/>
    <col min="5" max="5" width="7.7109375" style="273" bestFit="1" customWidth="1"/>
    <col min="6" max="6" width="13.28515625" style="275" bestFit="1" customWidth="1"/>
    <col min="7" max="16384" width="9" style="273"/>
  </cols>
  <sheetData>
    <row r="1" spans="1:6" x14ac:dyDescent="0.2">
      <c r="A1" s="271" t="s">
        <v>461</v>
      </c>
      <c r="B1" s="271" t="s">
        <v>462</v>
      </c>
      <c r="C1" s="271" t="s">
        <v>468</v>
      </c>
      <c r="D1" s="271" t="s">
        <v>463</v>
      </c>
      <c r="E1" s="271" t="s">
        <v>465</v>
      </c>
      <c r="F1" s="272" t="s">
        <v>464</v>
      </c>
    </row>
    <row r="2" spans="1:6" x14ac:dyDescent="0.2">
      <c r="A2" s="273" t="s">
        <v>466</v>
      </c>
      <c r="B2" s="273" t="s">
        <v>467</v>
      </c>
      <c r="C2" s="274">
        <v>9.5000500575372096E+17</v>
      </c>
      <c r="D2" s="273" t="s">
        <v>469</v>
      </c>
      <c r="F2" s="275">
        <f>50*33500</f>
        <v>1675000</v>
      </c>
    </row>
    <row r="3" spans="1:6" x14ac:dyDescent="0.2">
      <c r="A3" s="273" t="s">
        <v>466</v>
      </c>
      <c r="B3" s="273" t="s">
        <v>470</v>
      </c>
      <c r="C3" s="274">
        <v>8.00050050287452E+16</v>
      </c>
      <c r="D3" s="273" t="s">
        <v>471</v>
      </c>
      <c r="F3" s="275">
        <f>50*33500</f>
        <v>1675000</v>
      </c>
    </row>
  </sheetData>
  <phoneticPr fontId="1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60D56-DBA8-4028-8775-AA797D0C6D4E}">
  <dimension ref="A1:AE19"/>
  <sheetViews>
    <sheetView workbookViewId="0">
      <selection activeCell="A22" sqref="A22"/>
    </sheetView>
  </sheetViews>
  <sheetFormatPr defaultRowHeight="15" x14ac:dyDescent="0.25"/>
  <cols>
    <col min="1" max="1" width="24" bestFit="1" customWidth="1"/>
    <col min="2" max="10" width="5" bestFit="1" customWidth="1"/>
    <col min="11" max="11" width="4.42578125" bestFit="1" customWidth="1"/>
    <col min="12" max="20" width="5" bestFit="1" customWidth="1"/>
    <col min="21" max="21" width="4.42578125" bestFit="1" customWidth="1"/>
    <col min="22" max="25" width="5" bestFit="1" customWidth="1"/>
    <col min="26" max="26" width="5.28515625" bestFit="1" customWidth="1"/>
    <col min="27" max="30" width="5" bestFit="1" customWidth="1"/>
    <col min="31" max="31" width="4.42578125" bestFit="1" customWidth="1"/>
  </cols>
  <sheetData>
    <row r="1" spans="1:31" x14ac:dyDescent="0.25">
      <c r="A1" s="260" t="s">
        <v>437</v>
      </c>
      <c r="B1" s="260">
        <v>6.01</v>
      </c>
      <c r="C1" s="260">
        <v>6.02</v>
      </c>
      <c r="D1" s="260">
        <v>6.03</v>
      </c>
      <c r="E1" s="260">
        <v>6.04</v>
      </c>
      <c r="F1" s="260">
        <v>6.05</v>
      </c>
      <c r="G1" s="260">
        <v>6.06</v>
      </c>
      <c r="H1" s="260">
        <v>6.07</v>
      </c>
      <c r="I1" s="260">
        <v>6.08</v>
      </c>
      <c r="J1" s="260">
        <v>6.09</v>
      </c>
      <c r="K1" s="261">
        <v>6.1</v>
      </c>
      <c r="L1" s="260">
        <v>6.11</v>
      </c>
      <c r="M1" s="260">
        <v>6.12</v>
      </c>
      <c r="N1" s="260">
        <v>6.13</v>
      </c>
      <c r="O1" s="260">
        <v>6.14</v>
      </c>
      <c r="P1" s="260">
        <v>6.15</v>
      </c>
      <c r="Q1" s="260">
        <v>6.16</v>
      </c>
      <c r="R1" s="260">
        <v>6.17</v>
      </c>
      <c r="S1" s="260">
        <v>6.18</v>
      </c>
      <c r="T1" s="260">
        <v>6.19</v>
      </c>
      <c r="U1" s="261">
        <v>6.2</v>
      </c>
      <c r="V1" s="260">
        <v>6.21</v>
      </c>
      <c r="W1" s="260">
        <v>6.22</v>
      </c>
      <c r="X1" s="260">
        <v>6.23</v>
      </c>
      <c r="Y1" s="260">
        <v>6.2399999999999904</v>
      </c>
      <c r="Z1" s="260">
        <v>6.2499999999999902</v>
      </c>
      <c r="AA1" s="260">
        <v>6.25999999999999</v>
      </c>
      <c r="AB1" s="260">
        <v>6.2699999999999898</v>
      </c>
      <c r="AC1" s="260">
        <v>6.2799999999999896</v>
      </c>
      <c r="AD1" s="260">
        <v>6.2899999999999903</v>
      </c>
      <c r="AE1" s="261">
        <v>6.2999999999999901</v>
      </c>
    </row>
    <row r="2" spans="1:31" x14ac:dyDescent="0.25">
      <c r="A2" s="262" t="s">
        <v>438</v>
      </c>
      <c r="B2" s="263" t="s">
        <v>439</v>
      </c>
      <c r="C2" s="260" t="s">
        <v>440</v>
      </c>
      <c r="D2" s="260" t="s">
        <v>440</v>
      </c>
      <c r="E2" s="260" t="s">
        <v>440</v>
      </c>
      <c r="F2" s="260" t="s">
        <v>440</v>
      </c>
      <c r="G2" s="260" t="s">
        <v>440</v>
      </c>
      <c r="H2" s="263" t="s">
        <v>439</v>
      </c>
      <c r="I2" s="260" t="s">
        <v>440</v>
      </c>
      <c r="J2" s="260" t="s">
        <v>440</v>
      </c>
      <c r="K2" s="260" t="s">
        <v>440</v>
      </c>
      <c r="L2" s="260" t="s">
        <v>440</v>
      </c>
      <c r="M2" s="260" t="s">
        <v>440</v>
      </c>
      <c r="N2" s="260" t="s">
        <v>440</v>
      </c>
      <c r="O2" s="263" t="s">
        <v>439</v>
      </c>
      <c r="P2" s="260" t="s">
        <v>440</v>
      </c>
      <c r="Q2" s="260" t="s">
        <v>440</v>
      </c>
      <c r="R2" s="263" t="s">
        <v>439</v>
      </c>
      <c r="S2" s="260" t="s">
        <v>440</v>
      </c>
      <c r="T2" s="260" t="s">
        <v>440</v>
      </c>
      <c r="U2" s="260" t="s">
        <v>440</v>
      </c>
      <c r="V2" s="264" t="s">
        <v>439</v>
      </c>
      <c r="W2" s="264" t="s">
        <v>439</v>
      </c>
      <c r="X2" s="260" t="s">
        <v>440</v>
      </c>
      <c r="Y2" s="260" t="s">
        <v>440</v>
      </c>
      <c r="Z2" s="260" t="s">
        <v>440</v>
      </c>
      <c r="AA2" s="260" t="s">
        <v>440</v>
      </c>
      <c r="AB2" s="260" t="s">
        <v>440</v>
      </c>
      <c r="AC2" s="264" t="s">
        <v>439</v>
      </c>
      <c r="AD2" s="260" t="s">
        <v>440</v>
      </c>
      <c r="AE2" s="264" t="s">
        <v>439</v>
      </c>
    </row>
    <row r="3" spans="1:31" x14ac:dyDescent="0.25">
      <c r="A3" s="262" t="s">
        <v>441</v>
      </c>
      <c r="B3" s="263" t="s">
        <v>439</v>
      </c>
      <c r="C3" s="260" t="s">
        <v>440</v>
      </c>
      <c r="D3" s="263" t="s">
        <v>439</v>
      </c>
      <c r="E3" s="260" t="s">
        <v>440</v>
      </c>
      <c r="F3" s="260" t="s">
        <v>440</v>
      </c>
      <c r="G3" s="260" t="s">
        <v>440</v>
      </c>
      <c r="H3" s="260" t="s">
        <v>440</v>
      </c>
      <c r="I3" s="260" t="s">
        <v>440</v>
      </c>
      <c r="J3" s="260" t="s">
        <v>440</v>
      </c>
      <c r="K3" s="260" t="s">
        <v>440</v>
      </c>
      <c r="L3" s="260" t="s">
        <v>440</v>
      </c>
      <c r="M3" s="260" t="s">
        <v>440</v>
      </c>
      <c r="N3" s="260" t="s">
        <v>440</v>
      </c>
      <c r="O3" s="260" t="s">
        <v>440</v>
      </c>
      <c r="P3" s="260" t="s">
        <v>440</v>
      </c>
      <c r="Q3" s="260" t="s">
        <v>440</v>
      </c>
      <c r="R3" s="263" t="s">
        <v>439</v>
      </c>
      <c r="S3" s="260" t="s">
        <v>440</v>
      </c>
      <c r="T3" s="260" t="s">
        <v>440</v>
      </c>
      <c r="U3" s="260" t="s">
        <v>440</v>
      </c>
      <c r="V3" s="264" t="s">
        <v>439</v>
      </c>
      <c r="W3" s="260" t="s">
        <v>440</v>
      </c>
      <c r="X3" s="260" t="s">
        <v>440</v>
      </c>
      <c r="Y3" s="260" t="s">
        <v>440</v>
      </c>
      <c r="Z3" s="260" t="s">
        <v>440</v>
      </c>
      <c r="AA3" s="260" t="s">
        <v>440</v>
      </c>
      <c r="AB3" s="260" t="s">
        <v>440</v>
      </c>
      <c r="AC3" s="264" t="s">
        <v>439</v>
      </c>
      <c r="AD3" s="260" t="s">
        <v>440</v>
      </c>
      <c r="AE3" s="264" t="s">
        <v>439</v>
      </c>
    </row>
    <row r="4" spans="1:31" x14ac:dyDescent="0.25">
      <c r="A4" s="262" t="s">
        <v>348</v>
      </c>
      <c r="B4" s="260" t="s">
        <v>440</v>
      </c>
      <c r="C4" s="260" t="s">
        <v>440</v>
      </c>
      <c r="D4" s="260" t="s">
        <v>440</v>
      </c>
      <c r="E4" s="260" t="s">
        <v>440</v>
      </c>
      <c r="F4" s="260" t="s">
        <v>440</v>
      </c>
      <c r="G4" s="260" t="s">
        <v>440</v>
      </c>
      <c r="H4" s="260" t="s">
        <v>440</v>
      </c>
      <c r="I4" s="260" t="s">
        <v>440</v>
      </c>
      <c r="J4" s="260" t="s">
        <v>440</v>
      </c>
      <c r="K4" s="260" t="s">
        <v>440</v>
      </c>
      <c r="L4" s="260" t="s">
        <v>440</v>
      </c>
      <c r="M4" s="260" t="s">
        <v>440</v>
      </c>
      <c r="N4" s="260" t="s">
        <v>440</v>
      </c>
      <c r="O4" s="263" t="s">
        <v>439</v>
      </c>
      <c r="P4" s="260" t="s">
        <v>440</v>
      </c>
      <c r="Q4" s="260" t="s">
        <v>440</v>
      </c>
      <c r="R4" s="264" t="s">
        <v>439</v>
      </c>
      <c r="S4" s="260" t="s">
        <v>440</v>
      </c>
      <c r="T4" s="260" t="s">
        <v>440</v>
      </c>
      <c r="U4" s="264" t="s">
        <v>439</v>
      </c>
      <c r="V4" s="264" t="s">
        <v>439</v>
      </c>
      <c r="W4" s="260" t="s">
        <v>440</v>
      </c>
      <c r="X4" s="260" t="s">
        <v>440</v>
      </c>
      <c r="Y4" s="260" t="s">
        <v>440</v>
      </c>
      <c r="Z4" s="260" t="s">
        <v>440</v>
      </c>
      <c r="AA4" s="260" t="s">
        <v>440</v>
      </c>
      <c r="AB4" s="260" t="s">
        <v>440</v>
      </c>
      <c r="AC4" s="264" t="s">
        <v>439</v>
      </c>
      <c r="AD4" s="260" t="s">
        <v>440</v>
      </c>
      <c r="AE4" s="260" t="s">
        <v>440</v>
      </c>
    </row>
    <row r="5" spans="1:31" x14ac:dyDescent="0.25">
      <c r="A5" s="262" t="s">
        <v>442</v>
      </c>
      <c r="B5" s="263" t="s">
        <v>439</v>
      </c>
      <c r="C5" s="260" t="s">
        <v>440</v>
      </c>
      <c r="D5" s="260" t="s">
        <v>440</v>
      </c>
      <c r="E5" s="260" t="s">
        <v>440</v>
      </c>
      <c r="F5" s="260" t="s">
        <v>440</v>
      </c>
      <c r="G5" s="260" t="s">
        <v>440</v>
      </c>
      <c r="H5" s="263" t="s">
        <v>439</v>
      </c>
      <c r="I5" s="260" t="s">
        <v>440</v>
      </c>
      <c r="J5" s="260" t="s">
        <v>440</v>
      </c>
      <c r="K5" s="260" t="s">
        <v>440</v>
      </c>
      <c r="L5" s="260" t="s">
        <v>440</v>
      </c>
      <c r="M5" s="260" t="s">
        <v>440</v>
      </c>
      <c r="N5" s="260" t="s">
        <v>440</v>
      </c>
      <c r="O5" s="263" t="s">
        <v>439</v>
      </c>
      <c r="P5" s="260" t="s">
        <v>440</v>
      </c>
      <c r="Q5" s="260" t="s">
        <v>440</v>
      </c>
      <c r="R5" s="260" t="s">
        <v>440</v>
      </c>
      <c r="S5" s="260" t="s">
        <v>440</v>
      </c>
      <c r="T5" s="260" t="s">
        <v>440</v>
      </c>
      <c r="U5" s="260" t="s">
        <v>440</v>
      </c>
      <c r="V5" s="260" t="s">
        <v>440</v>
      </c>
      <c r="W5" s="260" t="s">
        <v>440</v>
      </c>
      <c r="X5" s="260" t="s">
        <v>440</v>
      </c>
      <c r="Y5" s="260" t="s">
        <v>440</v>
      </c>
      <c r="Z5" s="260" t="s">
        <v>440</v>
      </c>
      <c r="AA5" s="260" t="s">
        <v>440</v>
      </c>
      <c r="AB5" s="260" t="s">
        <v>440</v>
      </c>
      <c r="AC5" s="264" t="s">
        <v>439</v>
      </c>
      <c r="AD5" s="260" t="s">
        <v>440</v>
      </c>
      <c r="AE5" s="260" t="s">
        <v>440</v>
      </c>
    </row>
    <row r="6" spans="1:31" x14ac:dyDescent="0.25">
      <c r="A6" s="262" t="s">
        <v>316</v>
      </c>
      <c r="B6" s="263" t="s">
        <v>439</v>
      </c>
      <c r="C6" s="263" t="s">
        <v>439</v>
      </c>
      <c r="D6" s="263" t="s">
        <v>439</v>
      </c>
      <c r="E6" s="263" t="s">
        <v>439</v>
      </c>
      <c r="F6" s="263" t="s">
        <v>439</v>
      </c>
      <c r="G6" s="263" t="s">
        <v>439</v>
      </c>
      <c r="H6" s="263" t="s">
        <v>439</v>
      </c>
      <c r="I6" s="260" t="s">
        <v>440</v>
      </c>
      <c r="J6" s="260" t="s">
        <v>440</v>
      </c>
      <c r="K6" s="260" t="s">
        <v>440</v>
      </c>
      <c r="L6" s="260" t="s">
        <v>440</v>
      </c>
      <c r="M6" s="260" t="s">
        <v>440</v>
      </c>
      <c r="N6" s="260" t="s">
        <v>440</v>
      </c>
      <c r="O6" s="263" t="s">
        <v>439</v>
      </c>
      <c r="P6" s="260" t="s">
        <v>440</v>
      </c>
      <c r="Q6" s="260" t="s">
        <v>440</v>
      </c>
      <c r="R6" s="260" t="s">
        <v>440</v>
      </c>
      <c r="S6" s="264" t="s">
        <v>439</v>
      </c>
      <c r="T6" s="260" t="s">
        <v>440</v>
      </c>
      <c r="U6" s="260" t="s">
        <v>440</v>
      </c>
      <c r="V6" s="264" t="s">
        <v>439</v>
      </c>
      <c r="W6" s="260" t="s">
        <v>440</v>
      </c>
      <c r="X6" s="260" t="s">
        <v>440</v>
      </c>
      <c r="Y6" s="260" t="s">
        <v>440</v>
      </c>
      <c r="Z6" s="260" t="s">
        <v>440</v>
      </c>
      <c r="AA6" s="260" t="s">
        <v>440</v>
      </c>
      <c r="AB6" s="260" t="s">
        <v>440</v>
      </c>
      <c r="AC6" s="264" t="s">
        <v>439</v>
      </c>
      <c r="AD6" s="260" t="s">
        <v>440</v>
      </c>
      <c r="AE6" s="260" t="s">
        <v>440</v>
      </c>
    </row>
    <row r="7" spans="1:31" x14ac:dyDescent="0.25">
      <c r="A7" s="257" t="s">
        <v>354</v>
      </c>
      <c r="B7" s="263" t="s">
        <v>439</v>
      </c>
      <c r="C7" s="263" t="s">
        <v>439</v>
      </c>
      <c r="D7" s="263" t="s">
        <v>439</v>
      </c>
      <c r="E7" s="263" t="s">
        <v>439</v>
      </c>
      <c r="F7" s="263" t="s">
        <v>439</v>
      </c>
      <c r="G7" s="263" t="s">
        <v>439</v>
      </c>
      <c r="H7" s="263" t="s">
        <v>439</v>
      </c>
      <c r="I7" s="263" t="s">
        <v>439</v>
      </c>
      <c r="J7" s="263" t="s">
        <v>439</v>
      </c>
      <c r="K7" s="263" t="s">
        <v>439</v>
      </c>
      <c r="L7" s="263" t="s">
        <v>439</v>
      </c>
      <c r="M7" s="263" t="s">
        <v>439</v>
      </c>
      <c r="N7" s="263" t="s">
        <v>439</v>
      </c>
      <c r="O7" s="263" t="s">
        <v>439</v>
      </c>
      <c r="P7" s="263" t="s">
        <v>439</v>
      </c>
      <c r="Q7" s="263" t="s">
        <v>439</v>
      </c>
      <c r="R7" s="263" t="s">
        <v>439</v>
      </c>
      <c r="S7" s="263" t="s">
        <v>439</v>
      </c>
      <c r="T7" s="263" t="s">
        <v>439</v>
      </c>
      <c r="U7" s="263" t="s">
        <v>439</v>
      </c>
      <c r="V7" s="263" t="s">
        <v>439</v>
      </c>
      <c r="W7" s="263" t="s">
        <v>439</v>
      </c>
      <c r="X7" s="260" t="s">
        <v>440</v>
      </c>
      <c r="Y7" s="260" t="s">
        <v>440</v>
      </c>
      <c r="Z7" s="260" t="s">
        <v>440</v>
      </c>
      <c r="AA7" s="260" t="s">
        <v>440</v>
      </c>
      <c r="AB7" s="260" t="s">
        <v>440</v>
      </c>
      <c r="AC7" s="264" t="s">
        <v>439</v>
      </c>
      <c r="AD7" s="260" t="s">
        <v>440</v>
      </c>
      <c r="AE7" s="260" t="s">
        <v>440</v>
      </c>
    </row>
    <row r="8" spans="1:31" x14ac:dyDescent="0.25">
      <c r="A8" s="257" t="s">
        <v>355</v>
      </c>
      <c r="B8" s="263" t="s">
        <v>439</v>
      </c>
      <c r="C8" s="263" t="s">
        <v>439</v>
      </c>
      <c r="D8" s="263" t="s">
        <v>439</v>
      </c>
      <c r="E8" s="263" t="s">
        <v>439</v>
      </c>
      <c r="F8" s="263" t="s">
        <v>439</v>
      </c>
      <c r="G8" s="263" t="s">
        <v>439</v>
      </c>
      <c r="H8" s="263" t="s">
        <v>439</v>
      </c>
      <c r="I8" s="263" t="s">
        <v>439</v>
      </c>
      <c r="J8" s="263" t="s">
        <v>439</v>
      </c>
      <c r="K8" s="263" t="s">
        <v>439</v>
      </c>
      <c r="L8" s="263" t="s">
        <v>439</v>
      </c>
      <c r="M8" s="263" t="s">
        <v>439</v>
      </c>
      <c r="N8" s="263" t="s">
        <v>439</v>
      </c>
      <c r="O8" s="263" t="s">
        <v>439</v>
      </c>
      <c r="P8" s="263" t="s">
        <v>439</v>
      </c>
      <c r="Q8" s="263" t="s">
        <v>439</v>
      </c>
      <c r="R8" s="263" t="s">
        <v>439</v>
      </c>
      <c r="S8" s="263" t="s">
        <v>439</v>
      </c>
      <c r="T8" s="263" t="s">
        <v>439</v>
      </c>
      <c r="U8" s="263" t="s">
        <v>439</v>
      </c>
      <c r="V8" s="263" t="s">
        <v>439</v>
      </c>
      <c r="W8" s="263" t="s">
        <v>439</v>
      </c>
      <c r="X8" s="260" t="s">
        <v>440</v>
      </c>
      <c r="Y8" s="260" t="s">
        <v>440</v>
      </c>
      <c r="Z8" s="260" t="s">
        <v>440</v>
      </c>
      <c r="AA8" s="260" t="s">
        <v>440</v>
      </c>
      <c r="AB8" s="260" t="s">
        <v>440</v>
      </c>
      <c r="AC8" s="264" t="s">
        <v>439</v>
      </c>
      <c r="AD8" s="260" t="s">
        <v>440</v>
      </c>
      <c r="AE8" s="260" t="s">
        <v>440</v>
      </c>
    </row>
    <row r="9" spans="1:31" x14ac:dyDescent="0.25">
      <c r="A9" s="257" t="s">
        <v>356</v>
      </c>
      <c r="B9" s="263" t="s">
        <v>439</v>
      </c>
      <c r="C9" s="263" t="s">
        <v>439</v>
      </c>
      <c r="D9" s="263" t="s">
        <v>439</v>
      </c>
      <c r="E9" s="263" t="s">
        <v>439</v>
      </c>
      <c r="F9" s="263" t="s">
        <v>439</v>
      </c>
      <c r="G9" s="263" t="s">
        <v>439</v>
      </c>
      <c r="H9" s="263" t="s">
        <v>439</v>
      </c>
      <c r="I9" s="263" t="s">
        <v>439</v>
      </c>
      <c r="J9" s="263" t="s">
        <v>439</v>
      </c>
      <c r="K9" s="263" t="s">
        <v>439</v>
      </c>
      <c r="L9" s="263" t="s">
        <v>439</v>
      </c>
      <c r="M9" s="263" t="s">
        <v>439</v>
      </c>
      <c r="N9" s="263" t="s">
        <v>439</v>
      </c>
      <c r="O9" s="263" t="s">
        <v>439</v>
      </c>
      <c r="P9" s="263" t="s">
        <v>439</v>
      </c>
      <c r="Q9" s="263" t="s">
        <v>439</v>
      </c>
      <c r="R9" s="263" t="s">
        <v>439</v>
      </c>
      <c r="S9" s="263" t="s">
        <v>439</v>
      </c>
      <c r="T9" s="263" t="s">
        <v>439</v>
      </c>
      <c r="U9" s="263" t="s">
        <v>439</v>
      </c>
      <c r="V9" s="263" t="s">
        <v>439</v>
      </c>
      <c r="W9" s="263" t="s">
        <v>439</v>
      </c>
      <c r="X9" s="260" t="s">
        <v>440</v>
      </c>
      <c r="Y9" s="263" t="s">
        <v>439</v>
      </c>
      <c r="Z9" s="263" t="s">
        <v>439</v>
      </c>
      <c r="AA9" s="263" t="s">
        <v>439</v>
      </c>
      <c r="AB9" s="263" t="s">
        <v>439</v>
      </c>
      <c r="AC9" s="263" t="s">
        <v>439</v>
      </c>
      <c r="AD9" s="260" t="s">
        <v>440</v>
      </c>
      <c r="AE9" s="260" t="s">
        <v>440</v>
      </c>
    </row>
    <row r="10" spans="1:31" x14ac:dyDescent="0.25">
      <c r="A10" s="257" t="s">
        <v>314</v>
      </c>
      <c r="B10" s="263" t="s">
        <v>439</v>
      </c>
      <c r="C10" s="263" t="s">
        <v>439</v>
      </c>
      <c r="D10" s="263" t="s">
        <v>439</v>
      </c>
      <c r="E10" s="263" t="s">
        <v>439</v>
      </c>
      <c r="F10" s="263" t="s">
        <v>439</v>
      </c>
      <c r="G10" s="263" t="s">
        <v>439</v>
      </c>
      <c r="H10" s="263" t="s">
        <v>439</v>
      </c>
      <c r="I10" s="263" t="s">
        <v>439</v>
      </c>
      <c r="J10" s="263" t="s">
        <v>439</v>
      </c>
      <c r="K10" s="263" t="s">
        <v>439</v>
      </c>
      <c r="L10" s="263" t="s">
        <v>439</v>
      </c>
      <c r="M10" s="263" t="s">
        <v>439</v>
      </c>
      <c r="N10" s="263" t="s">
        <v>439</v>
      </c>
      <c r="O10" s="263" t="s">
        <v>439</v>
      </c>
      <c r="P10" s="263" t="s">
        <v>439</v>
      </c>
      <c r="Q10" s="263" t="s">
        <v>439</v>
      </c>
      <c r="R10" s="263" t="s">
        <v>439</v>
      </c>
      <c r="S10" s="263" t="s">
        <v>439</v>
      </c>
      <c r="T10" s="263" t="s">
        <v>439</v>
      </c>
      <c r="U10" s="263" t="s">
        <v>439</v>
      </c>
      <c r="V10" s="263" t="s">
        <v>439</v>
      </c>
      <c r="W10" s="263" t="s">
        <v>439</v>
      </c>
      <c r="X10" s="260" t="s">
        <v>440</v>
      </c>
      <c r="Y10" s="263" t="s">
        <v>439</v>
      </c>
      <c r="Z10" s="265" t="s">
        <v>443</v>
      </c>
      <c r="AA10" s="265" t="s">
        <v>440</v>
      </c>
      <c r="AB10" s="265" t="s">
        <v>440</v>
      </c>
      <c r="AC10" s="266" t="s">
        <v>439</v>
      </c>
      <c r="AD10" s="265" t="s">
        <v>440</v>
      </c>
      <c r="AE10" s="265" t="s">
        <v>440</v>
      </c>
    </row>
    <row r="11" spans="1:31" x14ac:dyDescent="0.25">
      <c r="A11" s="257" t="s">
        <v>358</v>
      </c>
      <c r="B11" s="263" t="s">
        <v>439</v>
      </c>
      <c r="C11" s="263" t="s">
        <v>439</v>
      </c>
      <c r="D11" s="263" t="s">
        <v>439</v>
      </c>
      <c r="E11" s="263" t="s">
        <v>439</v>
      </c>
      <c r="F11" s="263" t="s">
        <v>439</v>
      </c>
      <c r="G11" s="263" t="s">
        <v>439</v>
      </c>
      <c r="H11" s="263" t="s">
        <v>439</v>
      </c>
      <c r="I11" s="263" t="s">
        <v>439</v>
      </c>
      <c r="J11" s="263" t="s">
        <v>439</v>
      </c>
      <c r="K11" s="263" t="s">
        <v>439</v>
      </c>
      <c r="L11" s="263" t="s">
        <v>439</v>
      </c>
      <c r="M11" s="263" t="s">
        <v>439</v>
      </c>
      <c r="N11" s="263" t="s">
        <v>439</v>
      </c>
      <c r="O11" s="263" t="s">
        <v>439</v>
      </c>
      <c r="P11" s="263" t="s">
        <v>439</v>
      </c>
      <c r="Q11" s="263" t="s">
        <v>439</v>
      </c>
      <c r="R11" s="263" t="s">
        <v>439</v>
      </c>
      <c r="S11" s="263" t="s">
        <v>439</v>
      </c>
      <c r="T11" s="263" t="s">
        <v>439</v>
      </c>
      <c r="U11" s="263" t="s">
        <v>439</v>
      </c>
      <c r="V11" s="263" t="s">
        <v>439</v>
      </c>
      <c r="W11" s="263" t="s">
        <v>439</v>
      </c>
      <c r="X11" s="260" t="s">
        <v>440</v>
      </c>
      <c r="Y11" s="260" t="s">
        <v>440</v>
      </c>
      <c r="Z11" s="260" t="s">
        <v>440</v>
      </c>
      <c r="AA11" s="260" t="s">
        <v>440</v>
      </c>
      <c r="AB11" s="260" t="s">
        <v>440</v>
      </c>
      <c r="AC11" s="266" t="s">
        <v>439</v>
      </c>
      <c r="AD11" s="265" t="s">
        <v>440</v>
      </c>
      <c r="AE11" s="265" t="s">
        <v>440</v>
      </c>
    </row>
    <row r="12" spans="1:31" x14ac:dyDescent="0.25">
      <c r="A12" s="257" t="s">
        <v>359</v>
      </c>
      <c r="B12" s="263" t="s">
        <v>439</v>
      </c>
      <c r="C12" s="263" t="s">
        <v>439</v>
      </c>
      <c r="D12" s="263" t="s">
        <v>439</v>
      </c>
      <c r="E12" s="263" t="s">
        <v>439</v>
      </c>
      <c r="F12" s="263" t="s">
        <v>439</v>
      </c>
      <c r="G12" s="263" t="s">
        <v>439</v>
      </c>
      <c r="H12" s="263" t="s">
        <v>439</v>
      </c>
      <c r="I12" s="263" t="s">
        <v>439</v>
      </c>
      <c r="J12" s="263" t="s">
        <v>439</v>
      </c>
      <c r="K12" s="263" t="s">
        <v>439</v>
      </c>
      <c r="L12" s="263" t="s">
        <v>439</v>
      </c>
      <c r="M12" s="263" t="s">
        <v>439</v>
      </c>
      <c r="N12" s="263" t="s">
        <v>439</v>
      </c>
      <c r="O12" s="263" t="s">
        <v>439</v>
      </c>
      <c r="P12" s="263" t="s">
        <v>439</v>
      </c>
      <c r="Q12" s="263" t="s">
        <v>439</v>
      </c>
      <c r="R12" s="263" t="s">
        <v>439</v>
      </c>
      <c r="S12" s="263" t="s">
        <v>439</v>
      </c>
      <c r="T12" s="263" t="s">
        <v>439</v>
      </c>
      <c r="U12" s="263" t="s">
        <v>439</v>
      </c>
      <c r="V12" s="263" t="s">
        <v>439</v>
      </c>
      <c r="W12" s="260" t="s">
        <v>440</v>
      </c>
      <c r="X12" s="260" t="s">
        <v>440</v>
      </c>
      <c r="Y12" s="265" t="s">
        <v>440</v>
      </c>
      <c r="Z12" s="265" t="s">
        <v>440</v>
      </c>
      <c r="AA12" s="265" t="s">
        <v>440</v>
      </c>
      <c r="AB12" s="265" t="s">
        <v>440</v>
      </c>
      <c r="AC12" s="266" t="s">
        <v>439</v>
      </c>
      <c r="AD12" s="265" t="s">
        <v>440</v>
      </c>
      <c r="AE12" s="265" t="s">
        <v>440</v>
      </c>
    </row>
    <row r="13" spans="1:31" x14ac:dyDescent="0.25">
      <c r="A13" s="257" t="s">
        <v>444</v>
      </c>
      <c r="B13" s="263" t="s">
        <v>439</v>
      </c>
      <c r="C13" s="263" t="s">
        <v>439</v>
      </c>
      <c r="D13" s="263" t="s">
        <v>439</v>
      </c>
      <c r="E13" s="263" t="s">
        <v>439</v>
      </c>
      <c r="F13" s="263" t="s">
        <v>439</v>
      </c>
      <c r="G13" s="263" t="s">
        <v>439</v>
      </c>
      <c r="H13" s="263" t="s">
        <v>439</v>
      </c>
      <c r="I13" s="263" t="s">
        <v>439</v>
      </c>
      <c r="J13" s="263" t="s">
        <v>439</v>
      </c>
      <c r="K13" s="263" t="s">
        <v>439</v>
      </c>
      <c r="L13" s="263" t="s">
        <v>439</v>
      </c>
      <c r="M13" s="263" t="s">
        <v>439</v>
      </c>
      <c r="N13" s="263" t="s">
        <v>439</v>
      </c>
      <c r="O13" s="265" t="s">
        <v>440</v>
      </c>
      <c r="P13" s="265" t="s">
        <v>440</v>
      </c>
      <c r="Q13" s="265" t="s">
        <v>440</v>
      </c>
      <c r="R13" s="265" t="s">
        <v>440</v>
      </c>
      <c r="S13" s="265" t="s">
        <v>440</v>
      </c>
      <c r="T13" s="265" t="s">
        <v>440</v>
      </c>
      <c r="U13" s="263" t="s">
        <v>439</v>
      </c>
      <c r="V13" s="263" t="s">
        <v>439</v>
      </c>
      <c r="W13" s="263" t="s">
        <v>439</v>
      </c>
      <c r="X13" s="263" t="s">
        <v>439</v>
      </c>
      <c r="Y13" s="263" t="s">
        <v>439</v>
      </c>
      <c r="Z13" s="263" t="s">
        <v>439</v>
      </c>
      <c r="AA13" s="263" t="s">
        <v>439</v>
      </c>
      <c r="AB13" s="263" t="s">
        <v>439</v>
      </c>
      <c r="AC13" s="263" t="s">
        <v>439</v>
      </c>
      <c r="AD13" s="263" t="s">
        <v>439</v>
      </c>
      <c r="AE13" s="263" t="s">
        <v>439</v>
      </c>
    </row>
    <row r="14" spans="1:31" x14ac:dyDescent="0.25">
      <c r="A14" s="257" t="s">
        <v>445</v>
      </c>
      <c r="B14" s="265" t="s">
        <v>440</v>
      </c>
      <c r="C14" s="265" t="s">
        <v>440</v>
      </c>
      <c r="D14" s="265" t="s">
        <v>440</v>
      </c>
      <c r="E14" s="265" t="s">
        <v>440</v>
      </c>
      <c r="F14" s="265" t="s">
        <v>440</v>
      </c>
      <c r="G14" s="265" t="s">
        <v>440</v>
      </c>
      <c r="H14" s="265" t="s">
        <v>440</v>
      </c>
      <c r="I14" s="265" t="s">
        <v>440</v>
      </c>
      <c r="J14" s="265" t="s">
        <v>440</v>
      </c>
      <c r="K14" s="265" t="s">
        <v>440</v>
      </c>
      <c r="L14" s="265" t="s">
        <v>440</v>
      </c>
      <c r="M14" s="265" t="s">
        <v>440</v>
      </c>
      <c r="N14" s="265" t="s">
        <v>440</v>
      </c>
      <c r="O14" s="265" t="s">
        <v>440</v>
      </c>
      <c r="P14" s="265" t="s">
        <v>440</v>
      </c>
      <c r="Q14" s="265" t="s">
        <v>440</v>
      </c>
      <c r="R14" s="265" t="s">
        <v>440</v>
      </c>
      <c r="S14" s="265" t="s">
        <v>440</v>
      </c>
      <c r="T14" s="265" t="s">
        <v>440</v>
      </c>
      <c r="U14" s="265" t="s">
        <v>440</v>
      </c>
      <c r="V14" s="265" t="s">
        <v>440</v>
      </c>
      <c r="W14" s="265" t="s">
        <v>440</v>
      </c>
      <c r="X14" s="265" t="s">
        <v>440</v>
      </c>
      <c r="Y14" s="265" t="s">
        <v>440</v>
      </c>
      <c r="Z14" s="265" t="s">
        <v>440</v>
      </c>
      <c r="AA14" s="265" t="s">
        <v>440</v>
      </c>
      <c r="AB14" s="265" t="s">
        <v>440</v>
      </c>
      <c r="AC14" s="265" t="s">
        <v>440</v>
      </c>
      <c r="AD14" s="265" t="s">
        <v>440</v>
      </c>
      <c r="AE14" s="265" t="s">
        <v>440</v>
      </c>
    </row>
    <row r="15" spans="1:31" x14ac:dyDescent="0.25">
      <c r="A15" s="257" t="s">
        <v>446</v>
      </c>
      <c r="B15" s="265" t="s">
        <v>440</v>
      </c>
      <c r="C15" s="265" t="s">
        <v>440</v>
      </c>
      <c r="D15" s="265" t="s">
        <v>440</v>
      </c>
      <c r="E15" s="265" t="s">
        <v>440</v>
      </c>
      <c r="F15" s="265" t="s">
        <v>440</v>
      </c>
      <c r="G15" s="265" t="s">
        <v>440</v>
      </c>
      <c r="H15" s="265" t="s">
        <v>440</v>
      </c>
      <c r="I15" s="265" t="s">
        <v>440</v>
      </c>
      <c r="J15" s="265" t="s">
        <v>440</v>
      </c>
      <c r="K15" s="265" t="s">
        <v>440</v>
      </c>
      <c r="L15" s="263" t="s">
        <v>439</v>
      </c>
      <c r="M15" s="263" t="s">
        <v>439</v>
      </c>
      <c r="N15" s="263" t="s">
        <v>439</v>
      </c>
      <c r="O15" s="263" t="s">
        <v>439</v>
      </c>
      <c r="P15" s="263" t="s">
        <v>439</v>
      </c>
      <c r="Q15" s="263" t="s">
        <v>439</v>
      </c>
      <c r="R15" s="263" t="s">
        <v>439</v>
      </c>
      <c r="S15" s="263" t="s">
        <v>439</v>
      </c>
      <c r="T15" s="263" t="s">
        <v>439</v>
      </c>
      <c r="U15" s="263" t="s">
        <v>439</v>
      </c>
      <c r="V15" s="263" t="s">
        <v>439</v>
      </c>
      <c r="W15" s="263" t="s">
        <v>439</v>
      </c>
      <c r="X15" s="263" t="s">
        <v>439</v>
      </c>
      <c r="Y15" s="263" t="s">
        <v>439</v>
      </c>
      <c r="Z15" s="263" t="s">
        <v>439</v>
      </c>
      <c r="AA15" s="263" t="s">
        <v>439</v>
      </c>
      <c r="AB15" s="263" t="s">
        <v>439</v>
      </c>
      <c r="AC15" s="263" t="s">
        <v>439</v>
      </c>
      <c r="AD15" s="263" t="s">
        <v>439</v>
      </c>
      <c r="AE15" s="263" t="s">
        <v>439</v>
      </c>
    </row>
    <row r="16" spans="1:31" x14ac:dyDescent="0.25">
      <c r="A16" s="257" t="s">
        <v>447</v>
      </c>
      <c r="B16" s="263" t="s">
        <v>439</v>
      </c>
      <c r="C16" s="263" t="s">
        <v>439</v>
      </c>
      <c r="D16" s="263" t="s">
        <v>439</v>
      </c>
      <c r="E16" s="263" t="s">
        <v>439</v>
      </c>
      <c r="F16" s="263" t="s">
        <v>439</v>
      </c>
      <c r="G16" s="263" t="s">
        <v>439</v>
      </c>
      <c r="H16" s="263" t="s">
        <v>439</v>
      </c>
      <c r="I16" s="263" t="s">
        <v>439</v>
      </c>
      <c r="J16" s="263" t="s">
        <v>439</v>
      </c>
      <c r="K16" s="263" t="s">
        <v>439</v>
      </c>
      <c r="L16" s="263" t="s">
        <v>439</v>
      </c>
      <c r="M16" s="263" t="s">
        <v>439</v>
      </c>
      <c r="N16" s="263" t="s">
        <v>439</v>
      </c>
      <c r="O16" s="263" t="s">
        <v>439</v>
      </c>
      <c r="P16" s="263" t="s">
        <v>439</v>
      </c>
      <c r="Q16" s="263" t="s">
        <v>439</v>
      </c>
      <c r="R16" s="263" t="s">
        <v>439</v>
      </c>
      <c r="S16" s="263" t="s">
        <v>439</v>
      </c>
      <c r="T16" s="263" t="s">
        <v>439</v>
      </c>
      <c r="U16" s="263" t="s">
        <v>439</v>
      </c>
      <c r="V16" s="263" t="s">
        <v>439</v>
      </c>
      <c r="W16" s="265" t="s">
        <v>440</v>
      </c>
      <c r="X16" s="265" t="s">
        <v>440</v>
      </c>
      <c r="Y16" s="265" t="s">
        <v>440</v>
      </c>
      <c r="Z16" s="265" t="s">
        <v>440</v>
      </c>
      <c r="AA16" s="265" t="s">
        <v>440</v>
      </c>
      <c r="AB16" s="265" t="s">
        <v>440</v>
      </c>
      <c r="AC16" s="265" t="s">
        <v>440</v>
      </c>
      <c r="AD16" s="265" t="s">
        <v>440</v>
      </c>
      <c r="AE16" s="265" t="s">
        <v>440</v>
      </c>
    </row>
    <row r="17" spans="1:31" x14ac:dyDescent="0.25">
      <c r="A17" s="267" t="s">
        <v>336</v>
      </c>
      <c r="B17" s="263" t="s">
        <v>439</v>
      </c>
      <c r="C17" s="260" t="s">
        <v>440</v>
      </c>
      <c r="D17" s="260" t="s">
        <v>440</v>
      </c>
      <c r="E17" s="260" t="s">
        <v>440</v>
      </c>
      <c r="F17" s="260" t="s">
        <v>440</v>
      </c>
      <c r="G17" s="263" t="s">
        <v>439</v>
      </c>
      <c r="H17" s="263" t="s">
        <v>439</v>
      </c>
      <c r="I17" s="260" t="s">
        <v>440</v>
      </c>
      <c r="J17" s="260" t="s">
        <v>440</v>
      </c>
      <c r="K17" s="260" t="s">
        <v>440</v>
      </c>
      <c r="L17" s="260" t="s">
        <v>440</v>
      </c>
      <c r="M17" s="260" t="s">
        <v>440</v>
      </c>
      <c r="N17" s="263" t="s">
        <v>439</v>
      </c>
      <c r="O17" s="263" t="s">
        <v>439</v>
      </c>
      <c r="P17" s="260" t="s">
        <v>440</v>
      </c>
      <c r="Q17" s="260" t="s">
        <v>440</v>
      </c>
      <c r="R17" s="260" t="s">
        <v>440</v>
      </c>
      <c r="S17" s="260" t="s">
        <v>440</v>
      </c>
      <c r="T17" s="260" t="s">
        <v>440</v>
      </c>
      <c r="U17" s="263" t="s">
        <v>439</v>
      </c>
      <c r="V17" s="263" t="s">
        <v>439</v>
      </c>
      <c r="W17" s="265" t="s">
        <v>440</v>
      </c>
      <c r="X17" s="265" t="s">
        <v>440</v>
      </c>
      <c r="Y17" s="265" t="s">
        <v>440</v>
      </c>
      <c r="Z17" s="265" t="s">
        <v>440</v>
      </c>
      <c r="AA17" s="265" t="s">
        <v>440</v>
      </c>
      <c r="AB17" s="263" t="s">
        <v>439</v>
      </c>
      <c r="AC17" s="263" t="s">
        <v>439</v>
      </c>
      <c r="AD17" s="265" t="s">
        <v>440</v>
      </c>
      <c r="AE17" s="265" t="s">
        <v>440</v>
      </c>
    </row>
    <row r="18" spans="1:31" x14ac:dyDescent="0.25">
      <c r="A18" s="257" t="s">
        <v>448</v>
      </c>
      <c r="B18" s="263" t="s">
        <v>439</v>
      </c>
      <c r="C18" s="265" t="s">
        <v>440</v>
      </c>
      <c r="D18" s="265" t="s">
        <v>440</v>
      </c>
      <c r="E18" s="265" t="s">
        <v>440</v>
      </c>
      <c r="F18" s="265" t="s">
        <v>440</v>
      </c>
      <c r="G18" s="263" t="s">
        <v>439</v>
      </c>
      <c r="H18" s="263" t="s">
        <v>439</v>
      </c>
      <c r="I18" s="265" t="s">
        <v>440</v>
      </c>
      <c r="J18" s="265" t="s">
        <v>440</v>
      </c>
      <c r="K18" s="265" t="s">
        <v>440</v>
      </c>
      <c r="L18" s="265" t="s">
        <v>440</v>
      </c>
      <c r="M18" s="265" t="s">
        <v>440</v>
      </c>
      <c r="N18" s="263" t="s">
        <v>439</v>
      </c>
      <c r="O18" s="263" t="s">
        <v>439</v>
      </c>
      <c r="P18" s="260" t="s">
        <v>440</v>
      </c>
      <c r="Q18" s="260" t="s">
        <v>440</v>
      </c>
      <c r="R18" s="260" t="s">
        <v>440</v>
      </c>
      <c r="S18" s="260" t="s">
        <v>440</v>
      </c>
      <c r="T18" s="260" t="s">
        <v>440</v>
      </c>
      <c r="U18" s="263" t="s">
        <v>439</v>
      </c>
      <c r="V18" s="263" t="s">
        <v>439</v>
      </c>
      <c r="W18" s="265" t="s">
        <v>440</v>
      </c>
      <c r="X18" s="265" t="s">
        <v>440</v>
      </c>
      <c r="Y18" s="265" t="s">
        <v>440</v>
      </c>
      <c r="Z18" s="265" t="s">
        <v>440</v>
      </c>
      <c r="AA18" s="265" t="s">
        <v>440</v>
      </c>
      <c r="AB18" s="263" t="s">
        <v>439</v>
      </c>
      <c r="AC18" s="263" t="s">
        <v>439</v>
      </c>
      <c r="AD18" s="265" t="s">
        <v>440</v>
      </c>
      <c r="AE18" s="265" t="s">
        <v>440</v>
      </c>
    </row>
    <row r="19" spans="1:31" x14ac:dyDescent="0.25">
      <c r="A19" s="267" t="s">
        <v>449</v>
      </c>
      <c r="B19" s="263" t="s">
        <v>439</v>
      </c>
      <c r="C19" s="263" t="s">
        <v>439</v>
      </c>
      <c r="D19" s="263" t="s">
        <v>439</v>
      </c>
      <c r="E19" s="263" t="s">
        <v>439</v>
      </c>
      <c r="F19" s="263" t="s">
        <v>439</v>
      </c>
      <c r="G19" s="263" t="s">
        <v>439</v>
      </c>
      <c r="H19" s="263" t="s">
        <v>439</v>
      </c>
      <c r="I19" s="263" t="s">
        <v>439</v>
      </c>
      <c r="J19" s="263" t="s">
        <v>439</v>
      </c>
      <c r="K19" s="263" t="s">
        <v>439</v>
      </c>
      <c r="L19" s="263" t="s">
        <v>439</v>
      </c>
      <c r="M19" s="263" t="s">
        <v>439</v>
      </c>
      <c r="N19" s="260" t="s">
        <v>440</v>
      </c>
      <c r="O19" s="260" t="s">
        <v>440</v>
      </c>
      <c r="P19" s="260" t="s">
        <v>440</v>
      </c>
      <c r="Q19" s="260" t="s">
        <v>440</v>
      </c>
      <c r="R19" s="260" t="s">
        <v>440</v>
      </c>
      <c r="S19" s="260" t="s">
        <v>440</v>
      </c>
      <c r="T19" s="260" t="s">
        <v>440</v>
      </c>
      <c r="U19" s="260" t="s">
        <v>440</v>
      </c>
      <c r="V19" s="260" t="s">
        <v>440</v>
      </c>
      <c r="W19" s="260" t="s">
        <v>440</v>
      </c>
      <c r="X19" s="260" t="s">
        <v>440</v>
      </c>
      <c r="Y19" s="260" t="s">
        <v>440</v>
      </c>
      <c r="Z19" s="260" t="s">
        <v>440</v>
      </c>
      <c r="AA19" s="260" t="s">
        <v>440</v>
      </c>
      <c r="AB19" s="260" t="s">
        <v>440</v>
      </c>
      <c r="AC19" s="260" t="s">
        <v>440</v>
      </c>
      <c r="AD19" s="260" t="s">
        <v>440</v>
      </c>
      <c r="AE19" s="260" t="s">
        <v>440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C4025-8899-47D3-9908-97707DE07507}">
  <dimension ref="A1:AU187"/>
  <sheetViews>
    <sheetView tabSelected="1" workbookViewId="0">
      <pane xSplit="28" ySplit="17" topLeftCell="AP50" activePane="bottomRight" state="frozen"/>
      <selection pane="topRight" activeCell="O1" sqref="O1"/>
      <selection pane="bottomLeft" activeCell="A18" sqref="A18"/>
      <selection pane="bottomRight" activeCell="O67" sqref="O67:O68"/>
    </sheetView>
  </sheetViews>
  <sheetFormatPr defaultRowHeight="11.25" x14ac:dyDescent="0.2"/>
  <cols>
    <col min="1" max="1" width="8.7109375" style="342" bestFit="1" customWidth="1"/>
    <col min="2" max="2" width="7.7109375" style="442" customWidth="1"/>
    <col min="3" max="3" width="6.7109375" style="342" customWidth="1"/>
    <col min="4" max="4" width="8.85546875" style="342" bestFit="1" customWidth="1"/>
    <col min="5" max="5" width="6.140625" style="342" bestFit="1" customWidth="1"/>
    <col min="6" max="6" width="4.42578125" style="342" bestFit="1" customWidth="1"/>
    <col min="7" max="7" width="6.140625" style="342" bestFit="1" customWidth="1"/>
    <col min="8" max="8" width="8.5703125" style="342" bestFit="1" customWidth="1"/>
    <col min="9" max="11" width="8.5703125" style="342" customWidth="1"/>
    <col min="12" max="12" width="8" style="342" bestFit="1" customWidth="1"/>
    <col min="13" max="23" width="8" style="342" customWidth="1"/>
    <col min="24" max="24" width="6.42578125" style="394" bestFit="1" customWidth="1"/>
    <col min="25" max="25" width="5.42578125" style="385" bestFit="1" customWidth="1"/>
    <col min="26" max="26" width="6" style="385" bestFit="1" customWidth="1"/>
    <col min="27" max="27" width="6.42578125" style="385" bestFit="1" customWidth="1"/>
    <col min="28" max="28" width="5.140625" style="385" bestFit="1" customWidth="1"/>
    <col min="29" max="29" width="8.140625" style="385" bestFit="1" customWidth="1"/>
    <col min="30" max="30" width="6.42578125" style="385" bestFit="1" customWidth="1"/>
    <col min="31" max="31" width="8.28515625" style="385" bestFit="1" customWidth="1"/>
    <col min="32" max="32" width="8.140625" style="385" bestFit="1" customWidth="1"/>
    <col min="33" max="33" width="6.5703125" style="385" bestFit="1" customWidth="1"/>
    <col min="34" max="34" width="4.42578125" style="385" bestFit="1" customWidth="1"/>
    <col min="35" max="35" width="5.7109375" style="385" bestFit="1" customWidth="1"/>
    <col min="36" max="36" width="6.42578125" style="385" bestFit="1" customWidth="1"/>
    <col min="37" max="37" width="7.140625" style="385" bestFit="1" customWidth="1"/>
    <col min="38" max="38" width="6.28515625" style="385" bestFit="1" customWidth="1"/>
    <col min="39" max="39" width="7" style="385" bestFit="1" customWidth="1"/>
    <col min="40" max="40" width="6.5703125" style="385" bestFit="1" customWidth="1"/>
    <col min="41" max="41" width="6.28515625" style="385" bestFit="1" customWidth="1"/>
    <col min="42" max="42" width="7.85546875" style="385" bestFit="1" customWidth="1"/>
    <col min="43" max="43" width="9.140625" style="404" customWidth="1"/>
    <col min="44" max="44" width="7.42578125" style="404" bestFit="1" customWidth="1"/>
    <col min="45" max="45" width="8.28515625" style="342" bestFit="1" customWidth="1"/>
    <col min="46" max="46" width="8" style="342" bestFit="1" customWidth="1"/>
    <col min="47" max="47" width="7.140625" style="342" bestFit="1" customWidth="1"/>
    <col min="48" max="51" width="8.5703125" style="342" bestFit="1" customWidth="1"/>
    <col min="52" max="53" width="7.5703125" style="342" bestFit="1" customWidth="1"/>
    <col min="54" max="54" width="6.85546875" style="342" bestFit="1" customWidth="1"/>
    <col min="55" max="55" width="7.42578125" style="342" bestFit="1" customWidth="1"/>
    <col min="56" max="56" width="8.28515625" style="342" bestFit="1" customWidth="1"/>
    <col min="57" max="57" width="8" style="342" bestFit="1" customWidth="1"/>
    <col min="58" max="58" width="8.5703125" style="342" bestFit="1" customWidth="1"/>
    <col min="59" max="59" width="7.42578125" style="342" bestFit="1" customWidth="1"/>
    <col min="60" max="60" width="9" style="342" bestFit="1" customWidth="1"/>
    <col min="61" max="62" width="9.140625" style="342"/>
    <col min="63" max="63" width="7.42578125" style="342" bestFit="1" customWidth="1"/>
    <col min="64" max="64" width="6.42578125" style="342" bestFit="1" customWidth="1"/>
    <col min="65" max="65" width="4.28515625" style="342" bestFit="1" customWidth="1"/>
    <col min="66" max="66" width="41.140625" style="342" bestFit="1" customWidth="1"/>
    <col min="67" max="67" width="3.5703125" style="342" bestFit="1" customWidth="1"/>
    <col min="68" max="68" width="4.42578125" style="342" bestFit="1" customWidth="1"/>
    <col min="69" max="16384" width="9.140625" style="342"/>
  </cols>
  <sheetData>
    <row r="1" spans="1:47" x14ac:dyDescent="0.2">
      <c r="A1" s="466" t="s">
        <v>417</v>
      </c>
      <c r="B1" s="467"/>
      <c r="C1" s="467"/>
      <c r="D1" s="467"/>
      <c r="E1" s="467"/>
      <c r="F1" s="467"/>
      <c r="G1" s="467"/>
      <c r="H1" s="467"/>
      <c r="I1" s="467"/>
      <c r="J1" s="467"/>
      <c r="K1" s="467"/>
      <c r="L1" s="467"/>
      <c r="M1" s="468"/>
      <c r="N1" s="468"/>
      <c r="O1" s="468"/>
      <c r="P1" s="468"/>
      <c r="Q1" s="468"/>
      <c r="R1" s="468"/>
      <c r="S1" s="468"/>
      <c r="T1" s="468"/>
      <c r="U1" s="468"/>
      <c r="V1" s="468"/>
      <c r="W1" s="468"/>
      <c r="X1" s="467"/>
      <c r="Y1" s="467"/>
      <c r="Z1" s="467"/>
      <c r="AA1" s="467"/>
      <c r="AB1" s="467"/>
      <c r="AC1" s="467"/>
      <c r="AD1" s="467"/>
      <c r="AE1" s="467"/>
      <c r="AF1" s="467"/>
      <c r="AG1" s="467"/>
      <c r="AH1" s="467"/>
      <c r="AI1" s="467"/>
      <c r="AJ1" s="467"/>
      <c r="AK1" s="467"/>
      <c r="AL1" s="467"/>
      <c r="AM1" s="467"/>
      <c r="AN1" s="467"/>
      <c r="AO1" s="467"/>
      <c r="AP1" s="469"/>
      <c r="AQ1" s="479" t="s">
        <v>418</v>
      </c>
      <c r="AR1" s="479"/>
      <c r="AS1" s="479"/>
      <c r="AT1" s="479"/>
    </row>
    <row r="2" spans="1:47" s="385" customFormat="1" ht="30" customHeight="1" x14ac:dyDescent="0.25">
      <c r="A2" s="479" t="s">
        <v>407</v>
      </c>
      <c r="B2" s="477" t="s">
        <v>408</v>
      </c>
      <c r="C2" s="479" t="s">
        <v>409</v>
      </c>
      <c r="D2" s="384" t="s">
        <v>410</v>
      </c>
      <c r="E2" s="473" t="s">
        <v>411</v>
      </c>
      <c r="F2" s="474"/>
      <c r="G2" s="473" t="s">
        <v>412</v>
      </c>
      <c r="H2" s="474"/>
      <c r="I2" s="473" t="s">
        <v>538</v>
      </c>
      <c r="J2" s="474"/>
      <c r="K2" s="480" t="s">
        <v>130</v>
      </c>
      <c r="L2" s="473" t="s">
        <v>413</v>
      </c>
      <c r="M2" s="475" t="s">
        <v>539</v>
      </c>
      <c r="N2" s="475"/>
      <c r="O2" s="475" t="s">
        <v>540</v>
      </c>
      <c r="P2" s="475"/>
      <c r="Q2" s="475"/>
      <c r="R2" s="475" t="s">
        <v>527</v>
      </c>
      <c r="S2" s="475"/>
      <c r="T2" s="482" t="s">
        <v>573</v>
      </c>
      <c r="U2" s="483"/>
      <c r="V2" s="483"/>
      <c r="W2" s="484"/>
      <c r="X2" s="474" t="s">
        <v>414</v>
      </c>
      <c r="Y2" s="479"/>
      <c r="Z2" s="479"/>
      <c r="AA2" s="479" t="s">
        <v>175</v>
      </c>
      <c r="AB2" s="479"/>
      <c r="AC2" s="479"/>
      <c r="AD2" s="479" t="s">
        <v>178</v>
      </c>
      <c r="AE2" s="479"/>
      <c r="AF2" s="479"/>
      <c r="AG2" s="470" t="s">
        <v>429</v>
      </c>
      <c r="AH2" s="471"/>
      <c r="AI2" s="472"/>
      <c r="AJ2" s="470" t="s">
        <v>533</v>
      </c>
      <c r="AK2" s="471"/>
      <c r="AL2" s="471"/>
      <c r="AM2" s="472"/>
      <c r="AN2" s="470" t="s">
        <v>422</v>
      </c>
      <c r="AO2" s="472"/>
      <c r="AP2" s="478" t="s">
        <v>435</v>
      </c>
      <c r="AQ2" s="486" t="s">
        <v>419</v>
      </c>
      <c r="AR2" s="470" t="s">
        <v>420</v>
      </c>
      <c r="AS2" s="472"/>
      <c r="AT2" s="477" t="s">
        <v>421</v>
      </c>
    </row>
    <row r="3" spans="1:47" ht="22.5" x14ac:dyDescent="0.2">
      <c r="A3" s="480"/>
      <c r="B3" s="478"/>
      <c r="C3" s="480"/>
      <c r="D3" s="386" t="s">
        <v>436</v>
      </c>
      <c r="E3" s="386" t="s">
        <v>180</v>
      </c>
      <c r="F3" s="386" t="s">
        <v>436</v>
      </c>
      <c r="G3" s="386" t="s">
        <v>180</v>
      </c>
      <c r="H3" s="386" t="s">
        <v>436</v>
      </c>
      <c r="I3" s="418" t="s">
        <v>415</v>
      </c>
      <c r="J3" s="418" t="s">
        <v>416</v>
      </c>
      <c r="K3" s="485"/>
      <c r="L3" s="476"/>
      <c r="M3" s="434" t="s">
        <v>416</v>
      </c>
      <c r="N3" s="434" t="s">
        <v>413</v>
      </c>
      <c r="O3" s="434" t="s">
        <v>415</v>
      </c>
      <c r="P3" s="434" t="s">
        <v>416</v>
      </c>
      <c r="Q3" s="434" t="s">
        <v>413</v>
      </c>
      <c r="R3" s="434" t="s">
        <v>416</v>
      </c>
      <c r="S3" s="434" t="s">
        <v>413</v>
      </c>
      <c r="T3" s="434" t="s">
        <v>574</v>
      </c>
      <c r="U3" s="434" t="s">
        <v>415</v>
      </c>
      <c r="V3" s="434" t="s">
        <v>416</v>
      </c>
      <c r="W3" s="434" t="s">
        <v>413</v>
      </c>
      <c r="X3" s="433" t="s">
        <v>423</v>
      </c>
      <c r="Y3" s="383" t="s">
        <v>415</v>
      </c>
      <c r="Z3" s="383" t="s">
        <v>416</v>
      </c>
      <c r="AA3" s="383" t="s">
        <v>423</v>
      </c>
      <c r="AB3" s="383" t="s">
        <v>415</v>
      </c>
      <c r="AC3" s="383" t="s">
        <v>416</v>
      </c>
      <c r="AD3" s="383" t="s">
        <v>423</v>
      </c>
      <c r="AE3" s="383" t="s">
        <v>415</v>
      </c>
      <c r="AF3" s="383" t="s">
        <v>416</v>
      </c>
      <c r="AG3" s="383" t="s">
        <v>423</v>
      </c>
      <c r="AH3" s="383" t="s">
        <v>430</v>
      </c>
      <c r="AI3" s="383" t="s">
        <v>431</v>
      </c>
      <c r="AJ3" s="383" t="s">
        <v>537</v>
      </c>
      <c r="AK3" s="383" t="s">
        <v>534</v>
      </c>
      <c r="AL3" s="383" t="s">
        <v>535</v>
      </c>
      <c r="AM3" s="383" t="s">
        <v>115</v>
      </c>
      <c r="AN3" s="383" t="s">
        <v>426</v>
      </c>
      <c r="AO3" s="387" t="s">
        <v>425</v>
      </c>
      <c r="AP3" s="481"/>
      <c r="AQ3" s="487"/>
      <c r="AR3" s="388" t="s">
        <v>428</v>
      </c>
      <c r="AS3" s="383" t="s">
        <v>427</v>
      </c>
      <c r="AT3" s="478"/>
    </row>
    <row r="4" spans="1:47" hidden="1" x14ac:dyDescent="0.2">
      <c r="A4" s="389"/>
      <c r="B4" s="390" t="s">
        <v>516</v>
      </c>
      <c r="C4" s="389"/>
      <c r="D4" s="389"/>
      <c r="E4" s="389"/>
      <c r="F4" s="389"/>
      <c r="G4" s="389"/>
      <c r="H4" s="389"/>
      <c r="I4" s="389"/>
      <c r="J4" s="389"/>
      <c r="K4" s="389"/>
      <c r="L4" s="389"/>
      <c r="M4" s="435"/>
      <c r="N4" s="435"/>
      <c r="O4" s="435"/>
      <c r="P4" s="435"/>
      <c r="Q4" s="435"/>
      <c r="R4" s="435"/>
      <c r="S4" s="435"/>
      <c r="T4" s="435"/>
      <c r="U4" s="435"/>
      <c r="V4" s="435"/>
      <c r="W4" s="435"/>
      <c r="X4" s="390"/>
      <c r="Y4" s="390"/>
      <c r="Z4" s="390"/>
      <c r="AA4" s="390"/>
      <c r="AB4" s="390"/>
      <c r="AC4" s="390"/>
      <c r="AD4" s="390"/>
      <c r="AE4" s="390"/>
      <c r="AF4" s="390"/>
      <c r="AG4" s="390"/>
      <c r="AH4" s="390"/>
      <c r="AI4" s="390"/>
      <c r="AJ4" s="390"/>
      <c r="AK4" s="390"/>
      <c r="AL4" s="390"/>
      <c r="AM4" s="390"/>
      <c r="AN4" s="390"/>
      <c r="AO4" s="391"/>
      <c r="AP4" s="390">
        <f>25+27+1</f>
        <v>53</v>
      </c>
      <c r="AQ4" s="392">
        <f>1435-AP4</f>
        <v>1382</v>
      </c>
      <c r="AR4" s="392">
        <f>408+70</f>
        <v>478</v>
      </c>
      <c r="AS4" s="390"/>
      <c r="AT4" s="390">
        <f>550+39</f>
        <v>589</v>
      </c>
      <c r="AU4" s="393">
        <f>+AQ4-AR4-AT4</f>
        <v>315</v>
      </c>
    </row>
    <row r="5" spans="1:47" hidden="1" x14ac:dyDescent="0.2">
      <c r="A5" s="389"/>
      <c r="B5" s="390" t="s">
        <v>517</v>
      </c>
      <c r="C5" s="389"/>
      <c r="D5" s="389"/>
      <c r="E5" s="389"/>
      <c r="F5" s="389"/>
      <c r="G5" s="389"/>
      <c r="H5" s="389"/>
      <c r="I5" s="389"/>
      <c r="J5" s="389"/>
      <c r="K5" s="389"/>
      <c r="L5" s="389"/>
      <c r="M5" s="435"/>
      <c r="N5" s="435"/>
      <c r="O5" s="435"/>
      <c r="P5" s="435"/>
      <c r="Q5" s="435"/>
      <c r="R5" s="435"/>
      <c r="S5" s="435"/>
      <c r="T5" s="435"/>
      <c r="U5" s="435"/>
      <c r="V5" s="435"/>
      <c r="W5" s="435"/>
      <c r="X5" s="390"/>
      <c r="Y5" s="390"/>
      <c r="Z5" s="390"/>
      <c r="AA5" s="390"/>
      <c r="AB5" s="390"/>
      <c r="AC5" s="390"/>
      <c r="AD5" s="390"/>
      <c r="AE5" s="390"/>
      <c r="AF5" s="390"/>
      <c r="AG5" s="390"/>
      <c r="AH5" s="390"/>
      <c r="AI5" s="390"/>
      <c r="AJ5" s="390"/>
      <c r="AK5" s="390"/>
      <c r="AL5" s="390"/>
      <c r="AM5" s="390"/>
      <c r="AN5" s="390"/>
      <c r="AO5" s="391"/>
      <c r="AP5" s="390">
        <f>22+4+1</f>
        <v>27</v>
      </c>
      <c r="AQ5" s="392">
        <f>3364-AP5</f>
        <v>3337</v>
      </c>
      <c r="AR5" s="392">
        <f>459+64</f>
        <v>523</v>
      </c>
      <c r="AS5" s="390"/>
      <c r="AT5" s="390">
        <f>2261+25</f>
        <v>2286</v>
      </c>
      <c r="AU5" s="393">
        <f>+AQ5-AR5-AT5</f>
        <v>528</v>
      </c>
    </row>
    <row r="6" spans="1:47" ht="22.5" hidden="1" x14ac:dyDescent="0.2">
      <c r="A6" s="389"/>
      <c r="B6" s="390" t="s">
        <v>518</v>
      </c>
      <c r="C6" s="389"/>
      <c r="D6" s="389"/>
      <c r="E6" s="389"/>
      <c r="F6" s="389"/>
      <c r="G6" s="389"/>
      <c r="H6" s="389"/>
      <c r="I6" s="389"/>
      <c r="J6" s="389"/>
      <c r="K6" s="389"/>
      <c r="L6" s="389"/>
      <c r="M6" s="435"/>
      <c r="N6" s="435"/>
      <c r="O6" s="435"/>
      <c r="P6" s="435"/>
      <c r="Q6" s="435"/>
      <c r="R6" s="435"/>
      <c r="S6" s="435"/>
      <c r="T6" s="435"/>
      <c r="U6" s="435"/>
      <c r="V6" s="435"/>
      <c r="W6" s="435"/>
      <c r="X6" s="390"/>
      <c r="Y6" s="390"/>
      <c r="Z6" s="390"/>
      <c r="AA6" s="390"/>
      <c r="AB6" s="390"/>
      <c r="AC6" s="390"/>
      <c r="AD6" s="390"/>
      <c r="AE6" s="390"/>
      <c r="AF6" s="390"/>
      <c r="AG6" s="390"/>
      <c r="AH6" s="390"/>
      <c r="AI6" s="390"/>
      <c r="AJ6" s="390"/>
      <c r="AK6" s="390"/>
      <c r="AL6" s="390"/>
      <c r="AM6" s="390"/>
      <c r="AN6" s="390"/>
      <c r="AO6" s="391"/>
      <c r="AP6" s="390">
        <f>19+6</f>
        <v>25</v>
      </c>
      <c r="AQ6" s="392">
        <f>1218-AP6</f>
        <v>1193</v>
      </c>
      <c r="AR6" s="392">
        <f>685+36</f>
        <v>721</v>
      </c>
      <c r="AS6" s="390"/>
      <c r="AT6" s="390">
        <f>480+29</f>
        <v>509</v>
      </c>
      <c r="AU6" s="393">
        <f>+AQ6-AR6-AT6</f>
        <v>-37</v>
      </c>
    </row>
    <row r="7" spans="1:47" hidden="1" x14ac:dyDescent="0.2">
      <c r="A7" s="342">
        <v>6.02</v>
      </c>
      <c r="B7" s="488" t="s">
        <v>151</v>
      </c>
      <c r="C7" s="342">
        <v>10</v>
      </c>
      <c r="F7" s="342">
        <v>5</v>
      </c>
      <c r="H7" s="342">
        <v>5</v>
      </c>
      <c r="L7" s="342">
        <f>0.5+0.8</f>
        <v>1.3</v>
      </c>
      <c r="M7" s="436"/>
      <c r="N7" s="436"/>
      <c r="O7" s="436"/>
      <c r="P7" s="436"/>
      <c r="Q7" s="436"/>
      <c r="R7" s="436"/>
      <c r="S7" s="436"/>
      <c r="T7" s="436"/>
      <c r="U7" s="436"/>
      <c r="V7" s="436"/>
      <c r="W7" s="436"/>
      <c r="X7" s="394" t="s">
        <v>72</v>
      </c>
      <c r="Y7" s="385">
        <v>1.4</v>
      </c>
      <c r="Z7" s="385">
        <v>1</v>
      </c>
      <c r="AA7" s="385" t="s">
        <v>69</v>
      </c>
      <c r="AB7" s="385">
        <v>2.5</v>
      </c>
      <c r="AC7" s="385">
        <v>2</v>
      </c>
      <c r="AD7" s="385" t="s">
        <v>69</v>
      </c>
      <c r="AE7" s="395">
        <v>10.3</v>
      </c>
      <c r="AF7" s="385">
        <v>10</v>
      </c>
      <c r="AN7" s="385" t="s">
        <v>60</v>
      </c>
      <c r="AO7" s="385">
        <f>250/10</f>
        <v>25</v>
      </c>
      <c r="AQ7" s="396">
        <f>+AO7</f>
        <v>25</v>
      </c>
      <c r="AR7" s="397"/>
      <c r="AT7" s="398">
        <f>+AO7</f>
        <v>25</v>
      </c>
    </row>
    <row r="8" spans="1:47" hidden="1" x14ac:dyDescent="0.2">
      <c r="A8" s="342">
        <v>6.03</v>
      </c>
      <c r="B8" s="488"/>
      <c r="C8" s="342">
        <v>10</v>
      </c>
      <c r="F8" s="342">
        <v>5</v>
      </c>
      <c r="H8" s="342">
        <v>5</v>
      </c>
      <c r="L8" s="342">
        <f>0.2+0.5</f>
        <v>0.7</v>
      </c>
      <c r="M8" s="436"/>
      <c r="N8" s="436"/>
      <c r="O8" s="436"/>
      <c r="P8" s="436"/>
      <c r="Q8" s="436"/>
      <c r="R8" s="436"/>
      <c r="S8" s="436"/>
      <c r="T8" s="436"/>
      <c r="U8" s="436"/>
      <c r="V8" s="436"/>
      <c r="W8" s="436"/>
      <c r="X8" s="394" t="s">
        <v>72</v>
      </c>
      <c r="Y8" s="385">
        <v>1.4</v>
      </c>
      <c r="Z8" s="385">
        <v>1</v>
      </c>
      <c r="AA8" s="385" t="s">
        <v>69</v>
      </c>
      <c r="AB8" s="385">
        <v>2.5</v>
      </c>
      <c r="AC8" s="385">
        <v>2</v>
      </c>
      <c r="AD8" s="385" t="s">
        <v>69</v>
      </c>
      <c r="AE8" s="395">
        <v>10.3</v>
      </c>
      <c r="AF8" s="385">
        <v>10</v>
      </c>
      <c r="AN8" s="385" t="s">
        <v>60</v>
      </c>
      <c r="AO8" s="385">
        <f>286/10</f>
        <v>28.6</v>
      </c>
      <c r="AQ8" s="396">
        <f>+AQ7+AO8</f>
        <v>53.6</v>
      </c>
      <c r="AR8" s="397"/>
      <c r="AT8" s="398">
        <f>+AT7+AO8-AR8+AS8</f>
        <v>53.6</v>
      </c>
    </row>
    <row r="9" spans="1:47" hidden="1" x14ac:dyDescent="0.2">
      <c r="A9" s="342">
        <v>6.04</v>
      </c>
      <c r="B9" s="488"/>
      <c r="C9" s="342">
        <v>20</v>
      </c>
      <c r="F9" s="342">
        <v>10</v>
      </c>
      <c r="H9" s="342">
        <v>10</v>
      </c>
      <c r="L9" s="342">
        <f>0.6+0.8</f>
        <v>1.4</v>
      </c>
      <c r="M9" s="436"/>
      <c r="N9" s="436"/>
      <c r="O9" s="436"/>
      <c r="P9" s="436"/>
      <c r="Q9" s="436"/>
      <c r="R9" s="436"/>
      <c r="S9" s="436"/>
      <c r="T9" s="436"/>
      <c r="U9" s="436"/>
      <c r="V9" s="436"/>
      <c r="W9" s="436"/>
      <c r="X9" s="394" t="s">
        <v>72</v>
      </c>
      <c r="Y9" s="385">
        <v>2.4</v>
      </c>
      <c r="Z9" s="385">
        <v>2</v>
      </c>
      <c r="AA9" s="385" t="s">
        <v>69</v>
      </c>
      <c r="AB9" s="385">
        <v>4.8</v>
      </c>
      <c r="AC9" s="385">
        <v>4</v>
      </c>
      <c r="AD9" s="385" t="s">
        <v>69</v>
      </c>
      <c r="AE9" s="395">
        <v>20.5</v>
      </c>
      <c r="AF9" s="385">
        <v>20</v>
      </c>
      <c r="AN9" s="385" t="s">
        <v>60</v>
      </c>
      <c r="AO9" s="385">
        <f>553/10</f>
        <v>55.3</v>
      </c>
      <c r="AQ9" s="396">
        <f>+AQ8+AO9</f>
        <v>108.9</v>
      </c>
      <c r="AR9" s="397"/>
      <c r="AT9" s="398">
        <f t="shared" ref="AT9:AT20" si="0">+AT8+AO9-AR9+AS9</f>
        <v>108.9</v>
      </c>
    </row>
    <row r="10" spans="1:47" hidden="1" x14ac:dyDescent="0.2">
      <c r="A10" s="342">
        <v>6.05</v>
      </c>
      <c r="B10" s="488"/>
      <c r="C10" s="342">
        <v>20</v>
      </c>
      <c r="F10" s="342">
        <v>10</v>
      </c>
      <c r="H10" s="342">
        <v>10</v>
      </c>
      <c r="L10" s="342">
        <f>0.8+0.4</f>
        <v>1.2000000000000002</v>
      </c>
      <c r="M10" s="436"/>
      <c r="N10" s="436"/>
      <c r="O10" s="436"/>
      <c r="P10" s="436"/>
      <c r="Q10" s="436"/>
      <c r="R10" s="436"/>
      <c r="S10" s="436"/>
      <c r="T10" s="436"/>
      <c r="U10" s="436"/>
      <c r="V10" s="436"/>
      <c r="W10" s="436"/>
      <c r="X10" s="394" t="s">
        <v>72</v>
      </c>
      <c r="Y10" s="385">
        <v>2.4</v>
      </c>
      <c r="Z10" s="385">
        <v>2</v>
      </c>
      <c r="AA10" s="385" t="s">
        <v>69</v>
      </c>
      <c r="AB10" s="385">
        <v>5</v>
      </c>
      <c r="AC10" s="385">
        <v>4</v>
      </c>
      <c r="AD10" s="385" t="s">
        <v>69</v>
      </c>
      <c r="AE10" s="395">
        <v>19.5</v>
      </c>
      <c r="AF10" s="385">
        <v>19</v>
      </c>
      <c r="AN10" s="385" t="s">
        <v>60</v>
      </c>
      <c r="AO10" s="385">
        <f>551/10</f>
        <v>55.1</v>
      </c>
      <c r="AQ10" s="396">
        <f t="shared" ref="AQ10:AQ20" si="1">+AQ9+AO10</f>
        <v>164</v>
      </c>
      <c r="AR10" s="397"/>
      <c r="AT10" s="398">
        <f t="shared" si="0"/>
        <v>164</v>
      </c>
    </row>
    <row r="11" spans="1:47" hidden="1" x14ac:dyDescent="0.2">
      <c r="A11" s="342">
        <v>6.08</v>
      </c>
      <c r="B11" s="488"/>
      <c r="C11" s="342">
        <v>25</v>
      </c>
      <c r="F11" s="342">
        <v>12.5</v>
      </c>
      <c r="H11" s="342">
        <v>12.5</v>
      </c>
      <c r="L11" s="342">
        <f>0.8+0.4</f>
        <v>1.2000000000000002</v>
      </c>
      <c r="M11" s="436"/>
      <c r="N11" s="436"/>
      <c r="O11" s="436"/>
      <c r="P11" s="436"/>
      <c r="Q11" s="436"/>
      <c r="R11" s="436"/>
      <c r="S11" s="436"/>
      <c r="T11" s="436"/>
      <c r="U11" s="436"/>
      <c r="V11" s="436"/>
      <c r="W11" s="436"/>
      <c r="X11" s="394" t="s">
        <v>72</v>
      </c>
      <c r="Y11" s="385">
        <v>2.8</v>
      </c>
      <c r="Z11" s="385">
        <v>2.2999999999999998</v>
      </c>
      <c r="AA11" s="385" t="s">
        <v>69</v>
      </c>
      <c r="AB11" s="385">
        <v>6</v>
      </c>
      <c r="AC11" s="385">
        <v>5</v>
      </c>
      <c r="AD11" s="385" t="s">
        <v>69</v>
      </c>
      <c r="AE11" s="395">
        <v>23.9</v>
      </c>
      <c r="AF11" s="385">
        <v>23.5</v>
      </c>
      <c r="AN11" s="385" t="s">
        <v>60</v>
      </c>
      <c r="AO11" s="385">
        <f>704/10</f>
        <v>70.400000000000006</v>
      </c>
      <c r="AQ11" s="396">
        <f t="shared" si="1"/>
        <v>234.4</v>
      </c>
      <c r="AR11" s="397"/>
      <c r="AT11" s="398">
        <f t="shared" si="0"/>
        <v>234.4</v>
      </c>
    </row>
    <row r="12" spans="1:47" hidden="1" x14ac:dyDescent="0.2">
      <c r="A12" s="342">
        <v>6.09</v>
      </c>
      <c r="B12" s="488"/>
      <c r="C12" s="342">
        <v>20</v>
      </c>
      <c r="F12" s="342">
        <v>10</v>
      </c>
      <c r="H12" s="342">
        <v>10</v>
      </c>
      <c r="L12" s="342">
        <f>0.6+0.7</f>
        <v>1.2999999999999998</v>
      </c>
      <c r="M12" s="436"/>
      <c r="N12" s="436"/>
      <c r="O12" s="436"/>
      <c r="P12" s="436"/>
      <c r="Q12" s="436"/>
      <c r="R12" s="436"/>
      <c r="S12" s="436"/>
      <c r="T12" s="436"/>
      <c r="U12" s="436"/>
      <c r="V12" s="436"/>
      <c r="W12" s="436"/>
      <c r="X12" s="394" t="s">
        <v>72</v>
      </c>
      <c r="Y12" s="385">
        <v>2.7</v>
      </c>
      <c r="Z12" s="385">
        <v>1.9</v>
      </c>
      <c r="AA12" s="385" t="s">
        <v>69</v>
      </c>
      <c r="AB12" s="385">
        <v>4.9000000000000004</v>
      </c>
      <c r="AC12" s="385">
        <v>4</v>
      </c>
      <c r="AD12" s="385" t="s">
        <v>69</v>
      </c>
      <c r="AE12" s="395">
        <v>19.2</v>
      </c>
      <c r="AF12" s="385">
        <v>18.600000000000001</v>
      </c>
      <c r="AN12" s="385" t="s">
        <v>60</v>
      </c>
      <c r="AO12" s="385">
        <f>567/10</f>
        <v>56.7</v>
      </c>
      <c r="AQ12" s="396">
        <f t="shared" si="1"/>
        <v>291.10000000000002</v>
      </c>
      <c r="AR12" s="397"/>
      <c r="AT12" s="398">
        <f t="shared" si="0"/>
        <v>291.10000000000002</v>
      </c>
    </row>
    <row r="13" spans="1:47" hidden="1" x14ac:dyDescent="0.2">
      <c r="A13" s="399">
        <v>6.1</v>
      </c>
      <c r="B13" s="488"/>
      <c r="C13" s="342">
        <v>20</v>
      </c>
      <c r="F13" s="342">
        <v>10</v>
      </c>
      <c r="H13" s="342">
        <v>10</v>
      </c>
      <c r="L13" s="342">
        <f>0.5+0.9</f>
        <v>1.4</v>
      </c>
      <c r="M13" s="436"/>
      <c r="N13" s="436"/>
      <c r="O13" s="436"/>
      <c r="P13" s="436"/>
      <c r="Q13" s="436"/>
      <c r="R13" s="436"/>
      <c r="S13" s="436"/>
      <c r="T13" s="436"/>
      <c r="U13" s="436"/>
      <c r="V13" s="436"/>
      <c r="W13" s="436"/>
      <c r="X13" s="394" t="s">
        <v>72</v>
      </c>
      <c r="Y13" s="385">
        <v>2.5</v>
      </c>
      <c r="Z13" s="385">
        <v>1.9</v>
      </c>
      <c r="AA13" s="385" t="s">
        <v>69</v>
      </c>
      <c r="AB13" s="385">
        <v>5</v>
      </c>
      <c r="AC13" s="385">
        <v>4</v>
      </c>
      <c r="AD13" s="385" t="s">
        <v>69</v>
      </c>
      <c r="AE13" s="395">
        <v>19</v>
      </c>
      <c r="AF13" s="385">
        <v>18.600000000000001</v>
      </c>
      <c r="AN13" s="385" t="s">
        <v>60</v>
      </c>
      <c r="AO13" s="385">
        <f>523/10</f>
        <v>52.3</v>
      </c>
      <c r="AQ13" s="396">
        <f t="shared" si="1"/>
        <v>343.40000000000003</v>
      </c>
      <c r="AR13" s="397"/>
      <c r="AT13" s="398">
        <f t="shared" si="0"/>
        <v>343.40000000000003</v>
      </c>
    </row>
    <row r="14" spans="1:47" hidden="1" x14ac:dyDescent="0.2">
      <c r="A14" s="342">
        <v>6.11</v>
      </c>
      <c r="B14" s="488"/>
      <c r="C14" s="342">
        <v>25</v>
      </c>
      <c r="F14" s="342">
        <v>12.5</v>
      </c>
      <c r="H14" s="342">
        <v>12.5</v>
      </c>
      <c r="L14" s="342">
        <f>0.3+0.6</f>
        <v>0.89999999999999991</v>
      </c>
      <c r="M14" s="436"/>
      <c r="N14" s="436"/>
      <c r="O14" s="436"/>
      <c r="P14" s="436"/>
      <c r="Q14" s="436"/>
      <c r="R14" s="436"/>
      <c r="S14" s="436"/>
      <c r="T14" s="436"/>
      <c r="U14" s="436"/>
      <c r="V14" s="436"/>
      <c r="W14" s="436"/>
      <c r="X14" s="394" t="s">
        <v>72</v>
      </c>
      <c r="Y14" s="385">
        <v>2.9</v>
      </c>
      <c r="Z14" s="385">
        <v>1.1599999999999999</v>
      </c>
      <c r="AA14" s="385" t="s">
        <v>69</v>
      </c>
      <c r="AB14" s="385">
        <v>5.2</v>
      </c>
      <c r="AC14" s="385">
        <v>5</v>
      </c>
      <c r="AD14" s="385" t="s">
        <v>69</v>
      </c>
      <c r="AE14" s="395">
        <v>24.1</v>
      </c>
      <c r="AF14" s="385">
        <v>23.7</v>
      </c>
      <c r="AN14" s="385" t="s">
        <v>60</v>
      </c>
      <c r="AO14" s="385">
        <f>702/10</f>
        <v>70.2</v>
      </c>
      <c r="AQ14" s="396">
        <f t="shared" si="1"/>
        <v>413.6</v>
      </c>
      <c r="AR14" s="397"/>
      <c r="AT14" s="398">
        <f t="shared" si="0"/>
        <v>413.6</v>
      </c>
    </row>
    <row r="15" spans="1:47" hidden="1" x14ac:dyDescent="0.2">
      <c r="A15" s="342">
        <v>6.15</v>
      </c>
      <c r="B15" s="488"/>
      <c r="C15" s="342">
        <v>20</v>
      </c>
      <c r="F15" s="342">
        <v>10</v>
      </c>
      <c r="H15" s="342">
        <v>10</v>
      </c>
      <c r="L15" s="342">
        <f>0.4+0.8</f>
        <v>1.2000000000000002</v>
      </c>
      <c r="M15" s="436"/>
      <c r="N15" s="436"/>
      <c r="O15" s="436"/>
      <c r="P15" s="436"/>
      <c r="Q15" s="436"/>
      <c r="R15" s="436"/>
      <c r="S15" s="436"/>
      <c r="T15" s="436"/>
      <c r="U15" s="436"/>
      <c r="V15" s="436"/>
      <c r="W15" s="436"/>
      <c r="X15" s="394" t="s">
        <v>72</v>
      </c>
      <c r="Y15" s="385">
        <v>2.6</v>
      </c>
      <c r="Z15" s="385">
        <v>1.9</v>
      </c>
      <c r="AA15" s="385" t="s">
        <v>69</v>
      </c>
      <c r="AB15" s="385">
        <v>5.0999999999999996</v>
      </c>
      <c r="AC15" s="385">
        <v>4</v>
      </c>
      <c r="AD15" s="385" t="s">
        <v>69</v>
      </c>
      <c r="AE15" s="395">
        <v>19</v>
      </c>
      <c r="AF15" s="385">
        <v>18.600000000000001</v>
      </c>
      <c r="AN15" s="385" t="s">
        <v>60</v>
      </c>
      <c r="AO15" s="385">
        <f>550/10</f>
        <v>55</v>
      </c>
      <c r="AQ15" s="396">
        <f t="shared" si="1"/>
        <v>468.6</v>
      </c>
      <c r="AR15" s="397"/>
      <c r="AT15" s="398">
        <f t="shared" si="0"/>
        <v>468.6</v>
      </c>
    </row>
    <row r="16" spans="1:47" hidden="1" x14ac:dyDescent="0.2">
      <c r="A16" s="399">
        <v>6.16</v>
      </c>
      <c r="B16" s="488"/>
      <c r="C16" s="342">
        <v>30</v>
      </c>
      <c r="F16" s="342">
        <v>15</v>
      </c>
      <c r="H16" s="342">
        <v>15</v>
      </c>
      <c r="L16" s="342">
        <f>0.8+0.7</f>
        <v>1.5</v>
      </c>
      <c r="M16" s="436"/>
      <c r="N16" s="436"/>
      <c r="O16" s="436"/>
      <c r="P16" s="436"/>
      <c r="Q16" s="436"/>
      <c r="R16" s="436"/>
      <c r="S16" s="436"/>
      <c r="T16" s="436"/>
      <c r="U16" s="436"/>
      <c r="V16" s="436"/>
      <c r="W16" s="436"/>
      <c r="X16" s="394" t="s">
        <v>72</v>
      </c>
      <c r="Y16" s="385">
        <v>2.9</v>
      </c>
      <c r="Z16" s="385">
        <v>2.8</v>
      </c>
      <c r="AA16" s="385" t="s">
        <v>69</v>
      </c>
      <c r="AB16" s="385">
        <v>7.3</v>
      </c>
      <c r="AC16" s="385">
        <v>6</v>
      </c>
      <c r="AD16" s="385" t="s">
        <v>69</v>
      </c>
      <c r="AE16" s="395">
        <v>28.3</v>
      </c>
      <c r="AF16" s="385">
        <v>27.9</v>
      </c>
      <c r="AN16" s="385" t="s">
        <v>60</v>
      </c>
      <c r="AO16" s="385">
        <f>845/10</f>
        <v>84.5</v>
      </c>
      <c r="AQ16" s="396">
        <f t="shared" si="1"/>
        <v>553.1</v>
      </c>
      <c r="AR16" s="397"/>
      <c r="AT16" s="398">
        <f t="shared" si="0"/>
        <v>553.1</v>
      </c>
    </row>
    <row r="17" spans="1:47" hidden="1" x14ac:dyDescent="0.2">
      <c r="A17" s="342">
        <v>6.17</v>
      </c>
      <c r="B17" s="488"/>
      <c r="C17" s="342">
        <v>20</v>
      </c>
      <c r="F17" s="342">
        <v>10</v>
      </c>
      <c r="H17" s="342">
        <v>10</v>
      </c>
      <c r="L17" s="342">
        <f>0.5+0.9</f>
        <v>1.4</v>
      </c>
      <c r="M17" s="436"/>
      <c r="N17" s="436"/>
      <c r="O17" s="436"/>
      <c r="P17" s="436"/>
      <c r="Q17" s="436"/>
      <c r="R17" s="436"/>
      <c r="S17" s="436"/>
      <c r="T17" s="436"/>
      <c r="U17" s="436"/>
      <c r="V17" s="436"/>
      <c r="W17" s="436"/>
      <c r="X17" s="394" t="s">
        <v>72</v>
      </c>
      <c r="Y17" s="385">
        <v>2.2000000000000002</v>
      </c>
      <c r="Z17" s="385">
        <v>1.5</v>
      </c>
      <c r="AA17" s="385" t="s">
        <v>69</v>
      </c>
      <c r="AB17" s="385">
        <v>5</v>
      </c>
      <c r="AC17" s="385">
        <v>4</v>
      </c>
      <c r="AD17" s="385" t="s">
        <v>69</v>
      </c>
      <c r="AE17" s="395">
        <v>19.5</v>
      </c>
      <c r="AF17" s="385">
        <v>18.600000000000001</v>
      </c>
      <c r="AN17" s="385" t="s">
        <v>60</v>
      </c>
      <c r="AO17" s="385">
        <f>535/10</f>
        <v>53.5</v>
      </c>
      <c r="AQ17" s="396">
        <f t="shared" si="1"/>
        <v>606.6</v>
      </c>
      <c r="AR17" s="397"/>
      <c r="AT17" s="398">
        <f t="shared" si="0"/>
        <v>606.6</v>
      </c>
    </row>
    <row r="18" spans="1:47" hidden="1" x14ac:dyDescent="0.2">
      <c r="A18" s="399">
        <v>6.18</v>
      </c>
      <c r="B18" s="488"/>
      <c r="C18" s="342">
        <v>15</v>
      </c>
      <c r="F18" s="342">
        <v>7.5</v>
      </c>
      <c r="H18" s="342">
        <v>7.5</v>
      </c>
      <c r="L18" s="342">
        <f>0.6+0.4</f>
        <v>1</v>
      </c>
      <c r="M18" s="436"/>
      <c r="N18" s="436"/>
      <c r="O18" s="436"/>
      <c r="P18" s="436"/>
      <c r="Q18" s="436"/>
      <c r="R18" s="436"/>
      <c r="S18" s="436"/>
      <c r="T18" s="436"/>
      <c r="U18" s="436"/>
      <c r="V18" s="436"/>
      <c r="W18" s="436"/>
      <c r="X18" s="394" t="s">
        <v>72</v>
      </c>
      <c r="Y18" s="385">
        <v>1.9</v>
      </c>
      <c r="Z18" s="385">
        <v>1.2</v>
      </c>
      <c r="AA18" s="385" t="s">
        <v>69</v>
      </c>
      <c r="AB18" s="385">
        <v>3.6</v>
      </c>
      <c r="AC18" s="385">
        <v>3</v>
      </c>
      <c r="AD18" s="385" t="s">
        <v>69</v>
      </c>
      <c r="AE18" s="395">
        <v>14.8</v>
      </c>
      <c r="AF18" s="385">
        <v>14.5</v>
      </c>
      <c r="AN18" s="385" t="s">
        <v>60</v>
      </c>
      <c r="AO18" s="385">
        <f>400/10</f>
        <v>40</v>
      </c>
      <c r="AQ18" s="396">
        <f t="shared" si="1"/>
        <v>646.6</v>
      </c>
      <c r="AR18" s="397"/>
      <c r="AT18" s="398">
        <f t="shared" si="0"/>
        <v>646.6</v>
      </c>
    </row>
    <row r="19" spans="1:47" hidden="1" x14ac:dyDescent="0.2">
      <c r="A19" s="399">
        <v>6.3</v>
      </c>
      <c r="B19" s="488"/>
      <c r="C19" s="342">
        <v>35</v>
      </c>
      <c r="F19" s="342">
        <v>17.5</v>
      </c>
      <c r="H19" s="342">
        <v>17.5</v>
      </c>
      <c r="L19" s="342">
        <f>0.8+0.6</f>
        <v>1.4</v>
      </c>
      <c r="M19" s="436"/>
      <c r="N19" s="436"/>
      <c r="O19" s="436"/>
      <c r="P19" s="436"/>
      <c r="Q19" s="436"/>
      <c r="R19" s="436"/>
      <c r="S19" s="436"/>
      <c r="T19" s="436"/>
      <c r="U19" s="436"/>
      <c r="V19" s="436"/>
      <c r="W19" s="436"/>
      <c r="X19" s="394" t="s">
        <v>72</v>
      </c>
      <c r="Y19" s="385">
        <v>3.5</v>
      </c>
      <c r="Z19" s="385">
        <v>2.7</v>
      </c>
      <c r="AA19" s="385" t="s">
        <v>69</v>
      </c>
      <c r="AB19" s="385">
        <v>8.4</v>
      </c>
      <c r="AC19" s="385">
        <v>7</v>
      </c>
      <c r="AD19" s="385" t="s">
        <v>69</v>
      </c>
      <c r="AE19" s="395">
        <v>32.799999999999997</v>
      </c>
      <c r="AF19" s="385">
        <v>32.6</v>
      </c>
      <c r="AN19" s="385" t="s">
        <v>60</v>
      </c>
      <c r="AO19" s="385">
        <f>950/10</f>
        <v>95</v>
      </c>
      <c r="AQ19" s="396">
        <f t="shared" si="1"/>
        <v>741.6</v>
      </c>
      <c r="AR19" s="397"/>
      <c r="AT19" s="398">
        <f t="shared" si="0"/>
        <v>741.6</v>
      </c>
    </row>
    <row r="20" spans="1:47" hidden="1" x14ac:dyDescent="0.2">
      <c r="A20" s="399">
        <v>7.01</v>
      </c>
      <c r="B20" s="488"/>
      <c r="C20" s="342">
        <v>25</v>
      </c>
      <c r="F20" s="342">
        <v>12.5</v>
      </c>
      <c r="H20" s="342">
        <v>12.5</v>
      </c>
      <c r="L20" s="342">
        <v>0.7</v>
      </c>
      <c r="M20" s="436"/>
      <c r="N20" s="436"/>
      <c r="O20" s="436"/>
      <c r="P20" s="436"/>
      <c r="Q20" s="436"/>
      <c r="R20" s="436"/>
      <c r="S20" s="436"/>
      <c r="T20" s="436"/>
      <c r="U20" s="436"/>
      <c r="V20" s="436"/>
      <c r="W20" s="436"/>
      <c r="X20" s="394" t="s">
        <v>72</v>
      </c>
      <c r="Y20" s="385">
        <v>2.5</v>
      </c>
      <c r="Z20" s="385">
        <v>1.8</v>
      </c>
      <c r="AA20" s="385" t="s">
        <v>69</v>
      </c>
      <c r="AB20" s="385">
        <v>6.1</v>
      </c>
      <c r="AC20" s="385">
        <v>5</v>
      </c>
      <c r="AD20" s="385" t="s">
        <v>69</v>
      </c>
      <c r="AE20" s="395">
        <v>25.9</v>
      </c>
      <c r="AF20" s="385">
        <v>25</v>
      </c>
      <c r="AN20" s="385" t="s">
        <v>60</v>
      </c>
      <c r="AO20" s="385">
        <f>512/10</f>
        <v>51.2</v>
      </c>
      <c r="AQ20" s="396">
        <f t="shared" si="1"/>
        <v>792.80000000000007</v>
      </c>
      <c r="AR20" s="397"/>
      <c r="AT20" s="398">
        <f t="shared" si="0"/>
        <v>792.80000000000007</v>
      </c>
    </row>
    <row r="21" spans="1:47" hidden="1" x14ac:dyDescent="0.2">
      <c r="A21" s="399">
        <v>7.02</v>
      </c>
      <c r="B21" s="488"/>
      <c r="C21" s="342">
        <v>20</v>
      </c>
      <c r="F21" s="342">
        <v>10</v>
      </c>
      <c r="H21" s="342">
        <v>10</v>
      </c>
      <c r="L21" s="342">
        <v>0.5</v>
      </c>
      <c r="M21" s="436"/>
      <c r="N21" s="436"/>
      <c r="O21" s="436"/>
      <c r="P21" s="436"/>
      <c r="Q21" s="436"/>
      <c r="R21" s="436"/>
      <c r="S21" s="436"/>
      <c r="T21" s="436"/>
      <c r="U21" s="436"/>
      <c r="V21" s="436"/>
      <c r="W21" s="436"/>
      <c r="X21" s="394" t="s">
        <v>72</v>
      </c>
      <c r="Y21" s="385">
        <v>2</v>
      </c>
      <c r="Z21" s="385">
        <v>1.4</v>
      </c>
      <c r="AA21" s="385" t="s">
        <v>69</v>
      </c>
      <c r="AB21" s="385">
        <v>4.7</v>
      </c>
      <c r="AC21" s="385">
        <v>4</v>
      </c>
      <c r="AD21" s="385" t="s">
        <v>69</v>
      </c>
      <c r="AE21" s="395">
        <v>19</v>
      </c>
      <c r="AF21" s="385">
        <v>18.600000000000001</v>
      </c>
      <c r="AN21" s="385" t="s">
        <v>60</v>
      </c>
      <c r="AO21" s="385">
        <f>522/10</f>
        <v>52.2</v>
      </c>
      <c r="AQ21" s="396">
        <f>+AQ20+AO21</f>
        <v>845.00000000000011</v>
      </c>
      <c r="AR21" s="397"/>
      <c r="AS21" s="393"/>
      <c r="AT21" s="398">
        <f>+AT20+AO21-AR21+AS21</f>
        <v>845.00000000000011</v>
      </c>
      <c r="AU21" s="400">
        <v>424</v>
      </c>
    </row>
    <row r="22" spans="1:47" hidden="1" x14ac:dyDescent="0.2">
      <c r="A22" s="399">
        <v>7.09</v>
      </c>
      <c r="B22" s="488"/>
      <c r="M22" s="436"/>
      <c r="N22" s="436"/>
      <c r="O22" s="436"/>
      <c r="P22" s="436"/>
      <c r="Q22" s="436"/>
      <c r="R22" s="436"/>
      <c r="S22" s="436"/>
      <c r="T22" s="436"/>
      <c r="U22" s="436"/>
      <c r="V22" s="436"/>
      <c r="W22" s="436"/>
      <c r="AE22" s="395"/>
      <c r="AQ22" s="396"/>
      <c r="AR22" s="401">
        <v>252</v>
      </c>
      <c r="AS22" s="393"/>
      <c r="AT22" s="398">
        <f t="shared" ref="AT22:AT31" si="2">+AT21+AO22-AR22+AS22</f>
        <v>593.00000000000011</v>
      </c>
      <c r="AU22" s="400"/>
    </row>
    <row r="23" spans="1:47" hidden="1" x14ac:dyDescent="0.2">
      <c r="A23" s="399">
        <v>7.11</v>
      </c>
      <c r="B23" s="488"/>
      <c r="M23" s="436"/>
      <c r="N23" s="436"/>
      <c r="O23" s="436"/>
      <c r="P23" s="436"/>
      <c r="Q23" s="436"/>
      <c r="R23" s="436"/>
      <c r="S23" s="436"/>
      <c r="T23" s="436"/>
      <c r="U23" s="436"/>
      <c r="V23" s="436"/>
      <c r="W23" s="436"/>
      <c r="AE23" s="395"/>
      <c r="AQ23" s="396"/>
      <c r="AR23" s="401">
        <v>30</v>
      </c>
      <c r="AS23" s="393"/>
      <c r="AT23" s="398">
        <f t="shared" si="2"/>
        <v>563.00000000000011</v>
      </c>
      <c r="AU23" s="400"/>
    </row>
    <row r="24" spans="1:47" hidden="1" x14ac:dyDescent="0.2">
      <c r="A24" s="399">
        <v>7.15</v>
      </c>
      <c r="B24" s="488"/>
      <c r="M24" s="436"/>
      <c r="N24" s="436"/>
      <c r="O24" s="436"/>
      <c r="P24" s="436"/>
      <c r="Q24" s="436"/>
      <c r="R24" s="436"/>
      <c r="S24" s="436"/>
      <c r="T24" s="436"/>
      <c r="U24" s="436"/>
      <c r="V24" s="436"/>
      <c r="W24" s="436"/>
      <c r="AE24" s="395"/>
      <c r="AQ24" s="396"/>
      <c r="AR24" s="401">
        <v>15</v>
      </c>
      <c r="AS24" s="393"/>
      <c r="AT24" s="398">
        <f t="shared" si="2"/>
        <v>548.00000000000011</v>
      </c>
      <c r="AU24" s="400"/>
    </row>
    <row r="25" spans="1:47" hidden="1" x14ac:dyDescent="0.2">
      <c r="A25" s="399">
        <v>7.16</v>
      </c>
      <c r="B25" s="488"/>
      <c r="M25" s="436"/>
      <c r="N25" s="436"/>
      <c r="O25" s="436"/>
      <c r="P25" s="436"/>
      <c r="Q25" s="436"/>
      <c r="R25" s="436"/>
      <c r="S25" s="436"/>
      <c r="T25" s="436"/>
      <c r="U25" s="436"/>
      <c r="V25" s="436"/>
      <c r="W25" s="436"/>
      <c r="AE25" s="395"/>
      <c r="AQ25" s="396"/>
      <c r="AR25" s="401">
        <v>5</v>
      </c>
      <c r="AS25" s="393"/>
      <c r="AT25" s="398">
        <f t="shared" si="2"/>
        <v>543.00000000000011</v>
      </c>
      <c r="AU25" s="400"/>
    </row>
    <row r="26" spans="1:47" hidden="1" x14ac:dyDescent="0.2">
      <c r="A26" s="399">
        <v>7.19</v>
      </c>
      <c r="B26" s="488"/>
      <c r="M26" s="436"/>
      <c r="N26" s="436"/>
      <c r="O26" s="436"/>
      <c r="P26" s="436"/>
      <c r="Q26" s="436"/>
      <c r="R26" s="436"/>
      <c r="S26" s="436"/>
      <c r="T26" s="436"/>
      <c r="U26" s="436"/>
      <c r="V26" s="436"/>
      <c r="W26" s="436"/>
      <c r="AE26" s="395"/>
      <c r="AQ26" s="396"/>
      <c r="AR26" s="401">
        <v>30</v>
      </c>
      <c r="AS26" s="393"/>
      <c r="AT26" s="398">
        <f t="shared" si="2"/>
        <v>513.00000000000011</v>
      </c>
      <c r="AU26" s="400"/>
    </row>
    <row r="27" spans="1:47" hidden="1" x14ac:dyDescent="0.2">
      <c r="A27" s="399">
        <v>7.2</v>
      </c>
      <c r="B27" s="488"/>
      <c r="M27" s="436"/>
      <c r="N27" s="436"/>
      <c r="O27" s="436"/>
      <c r="P27" s="436"/>
      <c r="Q27" s="436"/>
      <c r="R27" s="436"/>
      <c r="S27" s="436"/>
      <c r="T27" s="436"/>
      <c r="U27" s="436"/>
      <c r="V27" s="436"/>
      <c r="W27" s="436"/>
      <c r="AE27" s="395"/>
      <c r="AQ27" s="396"/>
      <c r="AR27" s="401">
        <v>24</v>
      </c>
      <c r="AS27" s="393"/>
      <c r="AT27" s="398">
        <f t="shared" si="2"/>
        <v>489.00000000000011</v>
      </c>
      <c r="AU27" s="400"/>
    </row>
    <row r="28" spans="1:47" hidden="1" x14ac:dyDescent="0.2">
      <c r="A28" s="399">
        <v>7.24</v>
      </c>
      <c r="B28" s="488"/>
      <c r="M28" s="436"/>
      <c r="N28" s="436"/>
      <c r="O28" s="436"/>
      <c r="P28" s="436"/>
      <c r="Q28" s="436"/>
      <c r="R28" s="436"/>
      <c r="S28" s="436"/>
      <c r="T28" s="436"/>
      <c r="U28" s="436"/>
      <c r="V28" s="436"/>
      <c r="W28" s="436"/>
      <c r="AE28" s="395"/>
      <c r="AQ28" s="396"/>
      <c r="AR28" s="401">
        <v>40</v>
      </c>
      <c r="AS28" s="393"/>
      <c r="AT28" s="398">
        <f t="shared" si="2"/>
        <v>449.00000000000011</v>
      </c>
      <c r="AU28" s="400"/>
    </row>
    <row r="29" spans="1:47" hidden="1" x14ac:dyDescent="0.2">
      <c r="A29" s="399">
        <v>7.31</v>
      </c>
      <c r="B29" s="488"/>
      <c r="M29" s="436"/>
      <c r="N29" s="436"/>
      <c r="O29" s="436"/>
      <c r="P29" s="436"/>
      <c r="Q29" s="436"/>
      <c r="R29" s="436"/>
      <c r="S29" s="436"/>
      <c r="T29" s="436"/>
      <c r="U29" s="436"/>
      <c r="V29" s="436"/>
      <c r="W29" s="436"/>
      <c r="AE29" s="395"/>
      <c r="AQ29" s="396"/>
      <c r="AR29" s="401">
        <v>23</v>
      </c>
      <c r="AS29" s="393"/>
      <c r="AT29" s="398">
        <f t="shared" si="2"/>
        <v>426.00000000000011</v>
      </c>
      <c r="AU29" s="400"/>
    </row>
    <row r="30" spans="1:47" hidden="1" x14ac:dyDescent="0.2">
      <c r="A30" s="399"/>
      <c r="B30" s="488"/>
      <c r="M30" s="436"/>
      <c r="N30" s="436"/>
      <c r="O30" s="436"/>
      <c r="P30" s="436"/>
      <c r="Q30" s="436"/>
      <c r="R30" s="436"/>
      <c r="S30" s="436"/>
      <c r="T30" s="436"/>
      <c r="U30" s="436"/>
      <c r="V30" s="436"/>
      <c r="W30" s="436"/>
      <c r="AE30" s="395"/>
      <c r="AQ30" s="396"/>
      <c r="AR30" s="397"/>
      <c r="AS30" s="393"/>
      <c r="AT30" s="398">
        <f t="shared" si="2"/>
        <v>426.00000000000011</v>
      </c>
      <c r="AU30" s="400"/>
    </row>
    <row r="31" spans="1:47" hidden="1" x14ac:dyDescent="0.2">
      <c r="A31" s="399"/>
      <c r="B31" s="488"/>
      <c r="M31" s="436"/>
      <c r="N31" s="436"/>
      <c r="O31" s="436"/>
      <c r="P31" s="436"/>
      <c r="Q31" s="436"/>
      <c r="R31" s="436"/>
      <c r="S31" s="436"/>
      <c r="T31" s="436"/>
      <c r="U31" s="436"/>
      <c r="V31" s="436"/>
      <c r="W31" s="436"/>
      <c r="AE31" s="395"/>
      <c r="AQ31" s="396"/>
      <c r="AR31" s="397"/>
      <c r="AS31" s="393"/>
      <c r="AT31" s="398">
        <f t="shared" si="2"/>
        <v>426.00000000000011</v>
      </c>
      <c r="AU31" s="400"/>
    </row>
    <row r="32" spans="1:47" ht="22.5" hidden="1" x14ac:dyDescent="0.2">
      <c r="A32" s="399">
        <v>6.12</v>
      </c>
      <c r="B32" s="442" t="s">
        <v>424</v>
      </c>
      <c r="C32" s="342">
        <v>7</v>
      </c>
      <c r="F32" s="342">
        <v>3.75</v>
      </c>
      <c r="H32" s="342">
        <v>3.75</v>
      </c>
      <c r="M32" s="436"/>
      <c r="N32" s="436"/>
      <c r="O32" s="436"/>
      <c r="P32" s="436"/>
      <c r="Q32" s="436"/>
      <c r="R32" s="436"/>
      <c r="S32" s="436"/>
      <c r="T32" s="436"/>
      <c r="U32" s="436"/>
      <c r="V32" s="436"/>
      <c r="W32" s="436"/>
      <c r="X32" s="394" t="s">
        <v>72</v>
      </c>
      <c r="AA32" s="385" t="s">
        <v>69</v>
      </c>
      <c r="AD32" s="385" t="s">
        <v>69</v>
      </c>
      <c r="AE32" s="395"/>
      <c r="AQ32" s="396"/>
      <c r="AR32" s="397"/>
      <c r="AT32" s="393"/>
      <c r="AU32" s="393"/>
    </row>
    <row r="33" spans="1:46" hidden="1" x14ac:dyDescent="0.2">
      <c r="A33" s="342">
        <v>6.19</v>
      </c>
      <c r="B33" s="465" t="s">
        <v>152</v>
      </c>
      <c r="C33" s="342">
        <v>30</v>
      </c>
      <c r="D33" s="342">
        <v>9</v>
      </c>
      <c r="F33" s="342">
        <v>21</v>
      </c>
      <c r="L33" s="342">
        <f>1.5+1.6</f>
        <v>3.1</v>
      </c>
      <c r="M33" s="436"/>
      <c r="N33" s="436"/>
      <c r="O33" s="436"/>
      <c r="P33" s="436"/>
      <c r="Q33" s="436"/>
      <c r="R33" s="436"/>
      <c r="S33" s="436"/>
      <c r="T33" s="436"/>
      <c r="U33" s="436"/>
      <c r="V33" s="436"/>
      <c r="W33" s="436"/>
      <c r="X33" s="394" t="s">
        <v>72</v>
      </c>
      <c r="Z33" s="385">
        <v>3</v>
      </c>
      <c r="AA33" s="385" t="s">
        <v>69</v>
      </c>
      <c r="AB33" s="385">
        <v>10.7</v>
      </c>
      <c r="AC33" s="385">
        <v>9</v>
      </c>
      <c r="AD33" s="385" t="s">
        <v>69</v>
      </c>
      <c r="AE33" s="395">
        <v>26</v>
      </c>
      <c r="AF33" s="385">
        <v>25.5</v>
      </c>
      <c r="AN33" s="385" t="s">
        <v>162</v>
      </c>
      <c r="AO33" s="385">
        <v>95</v>
      </c>
      <c r="AQ33" s="402">
        <f>+AO33</f>
        <v>95</v>
      </c>
      <c r="AR33" s="397"/>
      <c r="AT33" s="403">
        <f>+AO33</f>
        <v>95</v>
      </c>
    </row>
    <row r="34" spans="1:46" hidden="1" x14ac:dyDescent="0.2">
      <c r="A34" s="399">
        <v>6.22</v>
      </c>
      <c r="B34" s="465"/>
      <c r="C34" s="342">
        <v>30</v>
      </c>
      <c r="D34" s="342">
        <v>6</v>
      </c>
      <c r="F34" s="342">
        <v>12</v>
      </c>
      <c r="H34" s="342">
        <v>12</v>
      </c>
      <c r="L34" s="342">
        <f>1.2+0.9</f>
        <v>2.1</v>
      </c>
      <c r="M34" s="436"/>
      <c r="N34" s="436"/>
      <c r="O34" s="436"/>
      <c r="P34" s="436"/>
      <c r="Q34" s="436"/>
      <c r="R34" s="436"/>
      <c r="S34" s="436"/>
      <c r="T34" s="436"/>
      <c r="U34" s="436"/>
      <c r="V34" s="436"/>
      <c r="W34" s="436"/>
      <c r="X34" s="394" t="s">
        <v>72</v>
      </c>
      <c r="Z34" s="385">
        <v>3</v>
      </c>
      <c r="AA34" s="385" t="s">
        <v>69</v>
      </c>
      <c r="AB34" s="385">
        <v>10.8</v>
      </c>
      <c r="AC34" s="385">
        <v>9</v>
      </c>
      <c r="AD34" s="385" t="s">
        <v>69</v>
      </c>
      <c r="AE34" s="395">
        <v>30.7</v>
      </c>
      <c r="AF34" s="385">
        <v>30</v>
      </c>
      <c r="AN34" s="385" t="s">
        <v>162</v>
      </c>
      <c r="AO34" s="385">
        <v>98</v>
      </c>
      <c r="AQ34" s="402">
        <f t="shared" ref="AQ34:AQ39" si="3">+AQ33+AO34</f>
        <v>193</v>
      </c>
      <c r="AT34" s="403">
        <f>+AT33+AO34-AR34+AS34</f>
        <v>193</v>
      </c>
    </row>
    <row r="35" spans="1:46" hidden="1" x14ac:dyDescent="0.2">
      <c r="A35" s="342">
        <v>6.23</v>
      </c>
      <c r="B35" s="465"/>
      <c r="C35" s="342">
        <v>55</v>
      </c>
      <c r="D35" s="342">
        <v>5.6</v>
      </c>
      <c r="F35" s="342">
        <v>24.7</v>
      </c>
      <c r="H35" s="342">
        <v>24.7</v>
      </c>
      <c r="L35" s="342">
        <f>0.8+0.5</f>
        <v>1.3</v>
      </c>
      <c r="M35" s="436"/>
      <c r="N35" s="436"/>
      <c r="O35" s="436"/>
      <c r="P35" s="436"/>
      <c r="Q35" s="436"/>
      <c r="R35" s="436"/>
      <c r="S35" s="436"/>
      <c r="T35" s="436"/>
      <c r="U35" s="436"/>
      <c r="V35" s="436"/>
      <c r="W35" s="436"/>
      <c r="X35" s="394" t="s">
        <v>72</v>
      </c>
      <c r="Z35" s="385">
        <v>5.5</v>
      </c>
      <c r="AA35" s="385" t="s">
        <v>69</v>
      </c>
      <c r="AB35" s="385">
        <v>19</v>
      </c>
      <c r="AC35" s="385">
        <v>16.5</v>
      </c>
      <c r="AD35" s="385" t="s">
        <v>69</v>
      </c>
      <c r="AE35" s="395">
        <v>55.8</v>
      </c>
      <c r="AF35" s="385">
        <v>55</v>
      </c>
      <c r="AN35" s="385" t="s">
        <v>162</v>
      </c>
      <c r="AO35" s="385">
        <v>179</v>
      </c>
      <c r="AQ35" s="402">
        <f t="shared" si="3"/>
        <v>372</v>
      </c>
      <c r="AR35" s="404">
        <v>40</v>
      </c>
      <c r="AT35" s="403">
        <f t="shared" ref="AT35:AT45" si="4">+AT34+AO35-AR35+AS35</f>
        <v>332</v>
      </c>
    </row>
    <row r="36" spans="1:46" hidden="1" x14ac:dyDescent="0.2">
      <c r="A36" s="399">
        <v>6.24</v>
      </c>
      <c r="B36" s="465"/>
      <c r="C36" s="342">
        <v>40</v>
      </c>
      <c r="F36" s="342">
        <v>20</v>
      </c>
      <c r="H36" s="342">
        <v>20</v>
      </c>
      <c r="L36" s="342">
        <f>0.6+0.4</f>
        <v>1</v>
      </c>
      <c r="M36" s="436"/>
      <c r="N36" s="436"/>
      <c r="O36" s="436"/>
      <c r="P36" s="436"/>
      <c r="Q36" s="436"/>
      <c r="R36" s="436"/>
      <c r="S36" s="436"/>
      <c r="T36" s="436"/>
      <c r="U36" s="436"/>
      <c r="V36" s="436"/>
      <c r="W36" s="436"/>
      <c r="X36" s="394" t="s">
        <v>72</v>
      </c>
      <c r="Z36" s="385">
        <v>4</v>
      </c>
      <c r="AA36" s="385" t="s">
        <v>69</v>
      </c>
      <c r="AB36" s="385">
        <v>13.4</v>
      </c>
      <c r="AC36" s="385">
        <v>12</v>
      </c>
      <c r="AD36" s="385" t="s">
        <v>69</v>
      </c>
      <c r="AE36" s="395">
        <v>40.5</v>
      </c>
      <c r="AF36" s="385">
        <v>40</v>
      </c>
      <c r="AN36" s="385" t="s">
        <v>162</v>
      </c>
      <c r="AO36" s="385">
        <v>125</v>
      </c>
      <c r="AQ36" s="402">
        <f t="shared" si="3"/>
        <v>497</v>
      </c>
      <c r="AT36" s="403">
        <f t="shared" si="4"/>
        <v>457</v>
      </c>
    </row>
    <row r="37" spans="1:46" hidden="1" x14ac:dyDescent="0.2">
      <c r="A37" s="399">
        <v>6.25</v>
      </c>
      <c r="B37" s="465"/>
      <c r="C37" s="342">
        <v>50</v>
      </c>
      <c r="F37" s="342">
        <v>25</v>
      </c>
      <c r="H37" s="342">
        <v>25</v>
      </c>
      <c r="L37" s="342">
        <f>0.9+0.6</f>
        <v>1.5</v>
      </c>
      <c r="M37" s="436"/>
      <c r="N37" s="436"/>
      <c r="O37" s="436"/>
      <c r="P37" s="436"/>
      <c r="Q37" s="436"/>
      <c r="R37" s="436"/>
      <c r="S37" s="436"/>
      <c r="T37" s="436"/>
      <c r="U37" s="436"/>
      <c r="V37" s="436"/>
      <c r="W37" s="436"/>
      <c r="X37" s="394" t="s">
        <v>72</v>
      </c>
      <c r="Z37" s="385">
        <v>5</v>
      </c>
      <c r="AA37" s="385" t="s">
        <v>69</v>
      </c>
      <c r="AB37" s="385">
        <v>18.2</v>
      </c>
      <c r="AC37" s="385">
        <v>15</v>
      </c>
      <c r="AD37" s="385" t="s">
        <v>69</v>
      </c>
      <c r="AE37" s="395">
        <v>50.4</v>
      </c>
      <c r="AF37" s="385">
        <v>50</v>
      </c>
      <c r="AN37" s="385" t="s">
        <v>162</v>
      </c>
      <c r="AO37" s="385">
        <v>159</v>
      </c>
      <c r="AQ37" s="402">
        <f t="shared" si="3"/>
        <v>656</v>
      </c>
      <c r="AS37" s="342">
        <v>20</v>
      </c>
      <c r="AT37" s="403">
        <f t="shared" si="4"/>
        <v>636</v>
      </c>
    </row>
    <row r="38" spans="1:46" hidden="1" x14ac:dyDescent="0.2">
      <c r="A38" s="399">
        <v>6.26</v>
      </c>
      <c r="B38" s="465"/>
      <c r="C38" s="342">
        <v>55</v>
      </c>
      <c r="F38" s="342">
        <v>27.5</v>
      </c>
      <c r="H38" s="342">
        <v>27.5</v>
      </c>
      <c r="L38" s="342">
        <f>1.1+0.7</f>
        <v>1.8</v>
      </c>
      <c r="M38" s="436"/>
      <c r="N38" s="436"/>
      <c r="O38" s="436"/>
      <c r="P38" s="436"/>
      <c r="Q38" s="436"/>
      <c r="R38" s="436"/>
      <c r="S38" s="436"/>
      <c r="T38" s="436"/>
      <c r="U38" s="436"/>
      <c r="V38" s="436"/>
      <c r="W38" s="436"/>
      <c r="X38" s="394" t="s">
        <v>72</v>
      </c>
      <c r="Z38" s="385">
        <v>5.5</v>
      </c>
      <c r="AA38" s="385" t="s">
        <v>69</v>
      </c>
      <c r="AB38" s="385">
        <v>19.5</v>
      </c>
      <c r="AC38" s="385">
        <v>16.5</v>
      </c>
      <c r="AD38" s="385" t="s">
        <v>69</v>
      </c>
      <c r="AE38" s="395">
        <v>54.2</v>
      </c>
      <c r="AF38" s="385">
        <v>54</v>
      </c>
      <c r="AN38" s="385" t="s">
        <v>162</v>
      </c>
      <c r="AO38" s="385">
        <v>170</v>
      </c>
      <c r="AQ38" s="402">
        <f t="shared" si="3"/>
        <v>826</v>
      </c>
      <c r="AR38" s="404">
        <v>40</v>
      </c>
      <c r="AT38" s="403">
        <f t="shared" si="4"/>
        <v>766</v>
      </c>
    </row>
    <row r="39" spans="1:46" hidden="1" x14ac:dyDescent="0.2">
      <c r="A39" s="399">
        <v>6.29</v>
      </c>
      <c r="B39" s="465"/>
      <c r="C39" s="342">
        <v>50</v>
      </c>
      <c r="F39" s="342">
        <v>27.5</v>
      </c>
      <c r="H39" s="342">
        <v>27.5</v>
      </c>
      <c r="L39" s="342">
        <f>1.6+0.5</f>
        <v>2.1</v>
      </c>
      <c r="M39" s="436"/>
      <c r="N39" s="436"/>
      <c r="O39" s="436"/>
      <c r="P39" s="436"/>
      <c r="Q39" s="436"/>
      <c r="R39" s="436"/>
      <c r="S39" s="436"/>
      <c r="T39" s="436"/>
      <c r="U39" s="436"/>
      <c r="V39" s="436"/>
      <c r="W39" s="436"/>
      <c r="X39" s="394" t="s">
        <v>72</v>
      </c>
      <c r="Z39" s="385">
        <v>5</v>
      </c>
      <c r="AA39" s="385" t="s">
        <v>69</v>
      </c>
      <c r="AB39" s="385">
        <v>18.5</v>
      </c>
      <c r="AC39" s="385">
        <v>15</v>
      </c>
      <c r="AD39" s="385" t="s">
        <v>69</v>
      </c>
      <c r="AE39" s="395">
        <v>50.3</v>
      </c>
      <c r="AF39" s="385">
        <v>50</v>
      </c>
      <c r="AN39" s="385" t="s">
        <v>162</v>
      </c>
      <c r="AO39" s="385">
        <v>160</v>
      </c>
      <c r="AQ39" s="402">
        <f t="shared" si="3"/>
        <v>986</v>
      </c>
      <c r="AT39" s="403">
        <f t="shared" si="4"/>
        <v>926</v>
      </c>
    </row>
    <row r="40" spans="1:46" hidden="1" x14ac:dyDescent="0.2">
      <c r="A40" s="399">
        <v>7.15</v>
      </c>
      <c r="B40" s="465"/>
      <c r="M40" s="436"/>
      <c r="N40" s="436"/>
      <c r="O40" s="436"/>
      <c r="P40" s="436"/>
      <c r="Q40" s="436"/>
      <c r="R40" s="436"/>
      <c r="S40" s="436"/>
      <c r="T40" s="436"/>
      <c r="U40" s="436"/>
      <c r="V40" s="436"/>
      <c r="W40" s="436"/>
      <c r="AE40" s="395"/>
      <c r="AQ40" s="402"/>
      <c r="AR40" s="404">
        <v>40</v>
      </c>
      <c r="AT40" s="403">
        <f t="shared" si="4"/>
        <v>886</v>
      </c>
    </row>
    <row r="41" spans="1:46" hidden="1" x14ac:dyDescent="0.2">
      <c r="A41" s="399">
        <v>7.2</v>
      </c>
      <c r="B41" s="465"/>
      <c r="M41" s="436"/>
      <c r="N41" s="436"/>
      <c r="O41" s="436"/>
      <c r="P41" s="436"/>
      <c r="Q41" s="436"/>
      <c r="R41" s="436"/>
      <c r="S41" s="436"/>
      <c r="T41" s="436"/>
      <c r="U41" s="436"/>
      <c r="V41" s="436"/>
      <c r="W41" s="436"/>
      <c r="AE41" s="395"/>
      <c r="AQ41" s="402"/>
      <c r="AR41" s="404">
        <v>34</v>
      </c>
      <c r="AS41" s="342">
        <v>4</v>
      </c>
      <c r="AT41" s="403">
        <f t="shared" si="4"/>
        <v>856</v>
      </c>
    </row>
    <row r="42" spans="1:46" hidden="1" x14ac:dyDescent="0.2">
      <c r="A42" s="399">
        <v>7.24</v>
      </c>
      <c r="B42" s="465"/>
      <c r="M42" s="436"/>
      <c r="N42" s="436"/>
      <c r="O42" s="436"/>
      <c r="P42" s="436"/>
      <c r="Q42" s="436"/>
      <c r="R42" s="436"/>
      <c r="S42" s="436"/>
      <c r="T42" s="436"/>
      <c r="U42" s="436"/>
      <c r="V42" s="436"/>
      <c r="W42" s="436"/>
      <c r="AE42" s="395"/>
      <c r="AQ42" s="402"/>
      <c r="AR42" s="404">
        <v>20</v>
      </c>
      <c r="AT42" s="403">
        <f t="shared" si="4"/>
        <v>836</v>
      </c>
    </row>
    <row r="43" spans="1:46" hidden="1" x14ac:dyDescent="0.2">
      <c r="A43" s="399">
        <v>7.31</v>
      </c>
      <c r="B43" s="465"/>
      <c r="M43" s="436"/>
      <c r="N43" s="436"/>
      <c r="O43" s="436"/>
      <c r="P43" s="436"/>
      <c r="Q43" s="436"/>
      <c r="R43" s="436"/>
      <c r="S43" s="436"/>
      <c r="T43" s="436"/>
      <c r="U43" s="436"/>
      <c r="V43" s="436"/>
      <c r="W43" s="436"/>
      <c r="AE43" s="395"/>
      <c r="AQ43" s="402"/>
      <c r="AR43" s="404">
        <v>55</v>
      </c>
      <c r="AT43" s="403">
        <f t="shared" si="4"/>
        <v>781</v>
      </c>
    </row>
    <row r="44" spans="1:46" hidden="1" x14ac:dyDescent="0.2">
      <c r="A44" s="399"/>
      <c r="B44" s="465"/>
      <c r="M44" s="436"/>
      <c r="N44" s="436"/>
      <c r="O44" s="436"/>
      <c r="P44" s="436"/>
      <c r="Q44" s="436"/>
      <c r="R44" s="436"/>
      <c r="S44" s="436"/>
      <c r="T44" s="436"/>
      <c r="U44" s="436"/>
      <c r="V44" s="436"/>
      <c r="W44" s="436"/>
      <c r="AE44" s="395"/>
      <c r="AQ44" s="402"/>
      <c r="AT44" s="403">
        <f t="shared" si="4"/>
        <v>781</v>
      </c>
    </row>
    <row r="45" spans="1:46" hidden="1" x14ac:dyDescent="0.2">
      <c r="A45" s="399"/>
      <c r="B45" s="465"/>
      <c r="M45" s="436"/>
      <c r="N45" s="436"/>
      <c r="O45" s="436"/>
      <c r="P45" s="436"/>
      <c r="Q45" s="436"/>
      <c r="R45" s="436"/>
      <c r="S45" s="436"/>
      <c r="T45" s="436"/>
      <c r="U45" s="436"/>
      <c r="V45" s="436"/>
      <c r="W45" s="436"/>
      <c r="AE45" s="395"/>
      <c r="AQ45" s="402"/>
      <c r="AT45" s="403">
        <f t="shared" si="4"/>
        <v>781</v>
      </c>
    </row>
    <row r="46" spans="1:46" hidden="1" x14ac:dyDescent="0.2">
      <c r="A46" s="399"/>
      <c r="B46" s="465"/>
      <c r="M46" s="436"/>
      <c r="N46" s="436"/>
      <c r="O46" s="436"/>
      <c r="P46" s="436"/>
      <c r="Q46" s="436"/>
      <c r="R46" s="436"/>
      <c r="S46" s="436"/>
      <c r="T46" s="436"/>
      <c r="U46" s="436"/>
      <c r="V46" s="436"/>
      <c r="W46" s="436"/>
      <c r="AE46" s="395"/>
      <c r="AQ46" s="402"/>
      <c r="AT46" s="405"/>
    </row>
    <row r="47" spans="1:46" hidden="1" x14ac:dyDescent="0.2">
      <c r="A47" s="406">
        <v>7.03</v>
      </c>
      <c r="B47" s="489" t="s">
        <v>429</v>
      </c>
      <c r="C47" s="406"/>
      <c r="D47" s="406"/>
      <c r="E47" s="406"/>
      <c r="F47" s="406"/>
      <c r="G47" s="406"/>
      <c r="H47" s="406"/>
      <c r="I47" s="406"/>
      <c r="J47" s="406"/>
      <c r="K47" s="406"/>
      <c r="L47" s="406"/>
      <c r="M47" s="436"/>
      <c r="N47" s="436"/>
      <c r="O47" s="436"/>
      <c r="P47" s="436"/>
      <c r="Q47" s="436"/>
      <c r="R47" s="436"/>
      <c r="S47" s="436"/>
      <c r="T47" s="436"/>
      <c r="U47" s="436"/>
      <c r="V47" s="436"/>
      <c r="W47" s="436"/>
      <c r="X47" s="407"/>
      <c r="Y47" s="408"/>
      <c r="Z47" s="408"/>
      <c r="AA47" s="408"/>
      <c r="AB47" s="408"/>
      <c r="AC47" s="408"/>
      <c r="AD47" s="408"/>
      <c r="AE47" s="408"/>
      <c r="AF47" s="408"/>
      <c r="AG47" s="408" t="s">
        <v>69</v>
      </c>
      <c r="AH47" s="408">
        <v>332</v>
      </c>
      <c r="AI47" s="408">
        <v>144</v>
      </c>
      <c r="AJ47" s="408"/>
      <c r="AK47" s="408"/>
      <c r="AL47" s="408"/>
      <c r="AM47" s="408"/>
      <c r="AN47" s="408" t="s">
        <v>60</v>
      </c>
      <c r="AO47" s="408">
        <v>1400</v>
      </c>
      <c r="AP47" s="408"/>
      <c r="AQ47" s="409">
        <v>1400</v>
      </c>
      <c r="AT47" s="410">
        <f>+AQ47-AR47+AS47</f>
        <v>1400</v>
      </c>
    </row>
    <row r="48" spans="1:46" hidden="1" x14ac:dyDescent="0.2">
      <c r="A48" s="406">
        <v>7.24</v>
      </c>
      <c r="B48" s="489"/>
      <c r="C48" s="406"/>
      <c r="D48" s="406"/>
      <c r="E48" s="406"/>
      <c r="F48" s="406"/>
      <c r="G48" s="406"/>
      <c r="H48" s="406"/>
      <c r="I48" s="406"/>
      <c r="J48" s="406"/>
      <c r="K48" s="406"/>
      <c r="L48" s="406"/>
      <c r="M48" s="436"/>
      <c r="N48" s="436"/>
      <c r="O48" s="436"/>
      <c r="P48" s="436"/>
      <c r="Q48" s="436"/>
      <c r="R48" s="436"/>
      <c r="S48" s="436"/>
      <c r="T48" s="436"/>
      <c r="U48" s="436"/>
      <c r="V48" s="436"/>
      <c r="W48" s="436"/>
      <c r="X48" s="407"/>
      <c r="Y48" s="408"/>
      <c r="Z48" s="408"/>
      <c r="AA48" s="408"/>
      <c r="AB48" s="408"/>
      <c r="AC48" s="408"/>
      <c r="AD48" s="408"/>
      <c r="AE48" s="408"/>
      <c r="AF48" s="408"/>
      <c r="AG48" s="408"/>
      <c r="AH48" s="408"/>
      <c r="AI48" s="408"/>
      <c r="AJ48" s="408"/>
      <c r="AK48" s="408"/>
      <c r="AL48" s="408"/>
      <c r="AM48" s="408"/>
      <c r="AN48" s="408"/>
      <c r="AO48" s="408"/>
      <c r="AP48" s="408"/>
      <c r="AQ48" s="409"/>
      <c r="AR48" s="404">
        <v>200</v>
      </c>
      <c r="AT48" s="410">
        <f>+AT47-AR48+AS48</f>
        <v>1200</v>
      </c>
    </row>
    <row r="49" spans="1:46" hidden="1" x14ac:dyDescent="0.2">
      <c r="A49" s="406">
        <v>7.27</v>
      </c>
      <c r="B49" s="489"/>
      <c r="C49" s="406"/>
      <c r="D49" s="406"/>
      <c r="E49" s="406"/>
      <c r="F49" s="406"/>
      <c r="G49" s="406"/>
      <c r="H49" s="406"/>
      <c r="I49" s="406"/>
      <c r="J49" s="406"/>
      <c r="K49" s="406"/>
      <c r="L49" s="406"/>
      <c r="M49" s="436"/>
      <c r="N49" s="436"/>
      <c r="O49" s="436"/>
      <c r="P49" s="436"/>
      <c r="Q49" s="436"/>
      <c r="R49" s="436"/>
      <c r="S49" s="436"/>
      <c r="T49" s="436"/>
      <c r="U49" s="436"/>
      <c r="V49" s="436"/>
      <c r="W49" s="436"/>
      <c r="X49" s="407"/>
      <c r="Y49" s="408"/>
      <c r="Z49" s="408"/>
      <c r="AA49" s="408"/>
      <c r="AB49" s="408"/>
      <c r="AC49" s="408"/>
      <c r="AD49" s="408"/>
      <c r="AE49" s="408"/>
      <c r="AF49" s="408"/>
      <c r="AG49" s="408"/>
      <c r="AH49" s="408"/>
      <c r="AI49" s="408"/>
      <c r="AJ49" s="408"/>
      <c r="AK49" s="408"/>
      <c r="AL49" s="408"/>
      <c r="AM49" s="408"/>
      <c r="AN49" s="408"/>
      <c r="AO49" s="408"/>
      <c r="AP49" s="408"/>
      <c r="AQ49" s="409"/>
      <c r="AR49" s="404">
        <v>50</v>
      </c>
      <c r="AT49" s="410">
        <f>+AT48-AR49+AS49</f>
        <v>1150</v>
      </c>
    </row>
    <row r="50" spans="1:46" x14ac:dyDescent="0.2">
      <c r="A50" s="406">
        <v>7.29</v>
      </c>
      <c r="B50" s="489"/>
      <c r="C50" s="406"/>
      <c r="D50" s="406"/>
      <c r="E50" s="406"/>
      <c r="F50" s="406"/>
      <c r="G50" s="406"/>
      <c r="H50" s="406"/>
      <c r="I50" s="406"/>
      <c r="J50" s="406"/>
      <c r="K50" s="406"/>
      <c r="L50" s="406"/>
      <c r="M50" s="436"/>
      <c r="N50" s="436"/>
      <c r="O50" s="436"/>
      <c r="P50" s="436"/>
      <c r="Q50" s="436"/>
      <c r="R50" s="436"/>
      <c r="S50" s="436"/>
      <c r="T50" s="436"/>
      <c r="U50" s="436"/>
      <c r="V50" s="436"/>
      <c r="W50" s="436"/>
      <c r="X50" s="407"/>
      <c r="Y50" s="408"/>
      <c r="Z50" s="408"/>
      <c r="AA50" s="408"/>
      <c r="AB50" s="408"/>
      <c r="AC50" s="408"/>
      <c r="AD50" s="408"/>
      <c r="AE50" s="408"/>
      <c r="AF50" s="408"/>
      <c r="AG50" s="408"/>
      <c r="AH50" s="408"/>
      <c r="AI50" s="408"/>
      <c r="AJ50" s="408"/>
      <c r="AK50" s="408"/>
      <c r="AL50" s="408"/>
      <c r="AM50" s="408"/>
      <c r="AN50" s="408"/>
      <c r="AO50" s="408"/>
      <c r="AP50" s="408"/>
      <c r="AQ50" s="409"/>
      <c r="AR50" s="404">
        <v>50</v>
      </c>
      <c r="AT50" s="410">
        <f>+AT49-AR50+AS50</f>
        <v>1100</v>
      </c>
    </row>
    <row r="51" spans="1:46" x14ac:dyDescent="0.2">
      <c r="A51" s="406">
        <v>7.31</v>
      </c>
      <c r="B51" s="489"/>
      <c r="C51" s="406"/>
      <c r="D51" s="406"/>
      <c r="E51" s="406"/>
      <c r="F51" s="406"/>
      <c r="G51" s="406"/>
      <c r="H51" s="406"/>
      <c r="I51" s="406"/>
      <c r="J51" s="406"/>
      <c r="K51" s="406"/>
      <c r="L51" s="406"/>
      <c r="M51" s="436"/>
      <c r="N51" s="436"/>
      <c r="O51" s="436"/>
      <c r="P51" s="436"/>
      <c r="Q51" s="436"/>
      <c r="R51" s="436"/>
      <c r="S51" s="436"/>
      <c r="T51" s="436"/>
      <c r="U51" s="436"/>
      <c r="V51" s="436"/>
      <c r="W51" s="436"/>
      <c r="X51" s="407"/>
      <c r="Y51" s="408"/>
      <c r="Z51" s="408"/>
      <c r="AA51" s="408"/>
      <c r="AB51" s="408"/>
      <c r="AC51" s="408"/>
      <c r="AD51" s="408"/>
      <c r="AE51" s="408"/>
      <c r="AF51" s="408"/>
      <c r="AG51" s="408"/>
      <c r="AH51" s="408"/>
      <c r="AI51" s="408"/>
      <c r="AJ51" s="408"/>
      <c r="AK51" s="408"/>
      <c r="AL51" s="408"/>
      <c r="AM51" s="408"/>
      <c r="AN51" s="408"/>
      <c r="AO51" s="408"/>
      <c r="AP51" s="408"/>
      <c r="AQ51" s="409"/>
      <c r="AR51" s="404">
        <v>186</v>
      </c>
      <c r="AT51" s="410">
        <f>+AT50-AR51+AS51</f>
        <v>914</v>
      </c>
    </row>
    <row r="52" spans="1:46" x14ac:dyDescent="0.2">
      <c r="A52" s="406"/>
      <c r="B52" s="489"/>
      <c r="C52" s="406"/>
      <c r="D52" s="406"/>
      <c r="E52" s="406"/>
      <c r="F52" s="406"/>
      <c r="G52" s="406"/>
      <c r="H52" s="406"/>
      <c r="I52" s="406"/>
      <c r="J52" s="406"/>
      <c r="K52" s="406"/>
      <c r="L52" s="406"/>
      <c r="M52" s="436"/>
      <c r="N52" s="436"/>
      <c r="O52" s="436"/>
      <c r="P52" s="436"/>
      <c r="Q52" s="436"/>
      <c r="R52" s="436"/>
      <c r="S52" s="436"/>
      <c r="T52" s="436"/>
      <c r="U52" s="436"/>
      <c r="V52" s="436"/>
      <c r="W52" s="436"/>
      <c r="X52" s="407"/>
      <c r="Y52" s="408"/>
      <c r="Z52" s="408"/>
      <c r="AA52" s="408"/>
      <c r="AB52" s="408"/>
      <c r="AC52" s="408"/>
      <c r="AD52" s="408"/>
      <c r="AE52" s="408"/>
      <c r="AF52" s="408"/>
      <c r="AG52" s="408"/>
      <c r="AH52" s="408"/>
      <c r="AI52" s="408"/>
      <c r="AJ52" s="408"/>
      <c r="AK52" s="408"/>
      <c r="AL52" s="408"/>
      <c r="AM52" s="408"/>
      <c r="AN52" s="408"/>
      <c r="AO52" s="408"/>
      <c r="AP52" s="408"/>
      <c r="AQ52" s="409"/>
      <c r="AT52" s="410">
        <f>+AT51-AR52+AS52</f>
        <v>914</v>
      </c>
    </row>
    <row r="53" spans="1:46" x14ac:dyDescent="0.2">
      <c r="A53" s="399">
        <v>7.05</v>
      </c>
      <c r="B53" s="465" t="s">
        <v>432</v>
      </c>
      <c r="C53" s="342">
        <v>344</v>
      </c>
      <c r="E53" s="342">
        <f>21+2</f>
        <v>23</v>
      </c>
      <c r="F53" s="342">
        <f>315+29</f>
        <v>344</v>
      </c>
      <c r="L53" s="342">
        <f>5+3</f>
        <v>8</v>
      </c>
      <c r="M53" s="436"/>
      <c r="N53" s="436"/>
      <c r="O53" s="436"/>
      <c r="P53" s="436"/>
      <c r="Q53" s="436"/>
      <c r="R53" s="436"/>
      <c r="S53" s="436"/>
      <c r="T53" s="436"/>
      <c r="U53" s="436"/>
      <c r="V53" s="436"/>
      <c r="W53" s="436"/>
      <c r="AA53" s="385" t="s">
        <v>69</v>
      </c>
      <c r="AB53" s="385">
        <v>9.4499999999999993</v>
      </c>
      <c r="AC53" s="385">
        <v>6.45</v>
      </c>
      <c r="AG53" s="385" t="s">
        <v>69</v>
      </c>
      <c r="AH53" s="385">
        <v>98</v>
      </c>
      <c r="AI53" s="385">
        <v>29.2</v>
      </c>
      <c r="AK53" s="385">
        <f>20+10</f>
        <v>30</v>
      </c>
      <c r="AL53" s="385">
        <v>1.2</v>
      </c>
      <c r="AM53" s="385">
        <v>0.2</v>
      </c>
      <c r="AN53" s="385" t="s">
        <v>434</v>
      </c>
      <c r="AO53" s="385">
        <v>215</v>
      </c>
      <c r="AQ53" s="411">
        <f>+AO53-AP53</f>
        <v>215</v>
      </c>
      <c r="AT53" s="412">
        <f>+AO53</f>
        <v>215</v>
      </c>
    </row>
    <row r="54" spans="1:46" x14ac:dyDescent="0.2">
      <c r="A54" s="399">
        <v>7.08</v>
      </c>
      <c r="B54" s="465"/>
      <c r="C54" s="342">
        <f>158+130.6</f>
        <v>288.60000000000002</v>
      </c>
      <c r="E54" s="342">
        <v>10</v>
      </c>
      <c r="F54" s="342">
        <v>158</v>
      </c>
      <c r="G54" s="413">
        <v>5</v>
      </c>
      <c r="H54" s="342">
        <v>130.6</v>
      </c>
      <c r="L54" s="342">
        <v>2</v>
      </c>
      <c r="M54" s="436"/>
      <c r="N54" s="436"/>
      <c r="O54" s="436"/>
      <c r="P54" s="436"/>
      <c r="Q54" s="436"/>
      <c r="R54" s="436"/>
      <c r="S54" s="436"/>
      <c r="T54" s="436"/>
      <c r="U54" s="436"/>
      <c r="V54" s="436"/>
      <c r="W54" s="436"/>
      <c r="AA54" s="385" t="s">
        <v>69</v>
      </c>
      <c r="AB54" s="385">
        <v>8.24</v>
      </c>
      <c r="AC54" s="385">
        <v>6.24</v>
      </c>
      <c r="AG54" s="385" t="s">
        <v>69</v>
      </c>
      <c r="AH54" s="385">
        <v>99.2</v>
      </c>
      <c r="AI54" s="385">
        <v>25.64</v>
      </c>
      <c r="AK54" s="385">
        <v>15</v>
      </c>
      <c r="AL54" s="385">
        <v>1.3</v>
      </c>
      <c r="AM54" s="385">
        <v>0.1</v>
      </c>
      <c r="AN54" s="385" t="s">
        <v>434</v>
      </c>
      <c r="AO54" s="385">
        <v>208</v>
      </c>
      <c r="AQ54" s="411">
        <f>+AQ53+AO54-AP54</f>
        <v>423</v>
      </c>
      <c r="AR54" s="404">
        <v>275</v>
      </c>
      <c r="AT54" s="412">
        <f t="shared" ref="AT54:AT59" si="5">+AT53+AO54-AR54+AS54</f>
        <v>148</v>
      </c>
    </row>
    <row r="55" spans="1:46" x14ac:dyDescent="0.2">
      <c r="A55" s="399">
        <v>7.09</v>
      </c>
      <c r="B55" s="465"/>
      <c r="G55" s="413"/>
      <c r="M55" s="436"/>
      <c r="N55" s="436"/>
      <c r="O55" s="436"/>
      <c r="P55" s="436"/>
      <c r="Q55" s="436"/>
      <c r="R55" s="436"/>
      <c r="S55" s="436"/>
      <c r="T55" s="436"/>
      <c r="U55" s="436"/>
      <c r="V55" s="436"/>
      <c r="W55" s="436"/>
      <c r="AQ55" s="411"/>
      <c r="AR55" s="404">
        <v>37</v>
      </c>
      <c r="AT55" s="412">
        <f t="shared" si="5"/>
        <v>111</v>
      </c>
    </row>
    <row r="56" spans="1:46" x14ac:dyDescent="0.2">
      <c r="A56" s="399">
        <v>7.29</v>
      </c>
      <c r="B56" s="465"/>
      <c r="G56" s="413"/>
      <c r="M56" s="436"/>
      <c r="N56" s="436"/>
      <c r="O56" s="436"/>
      <c r="P56" s="436"/>
      <c r="Q56" s="436"/>
      <c r="R56" s="436"/>
      <c r="S56" s="436"/>
      <c r="T56" s="436"/>
      <c r="U56" s="436"/>
      <c r="V56" s="436"/>
      <c r="W56" s="436"/>
      <c r="AQ56" s="411"/>
      <c r="AR56" s="404">
        <v>11</v>
      </c>
      <c r="AT56" s="412">
        <f t="shared" si="5"/>
        <v>100</v>
      </c>
    </row>
    <row r="57" spans="1:46" x14ac:dyDescent="0.2">
      <c r="A57" s="399">
        <v>7.31</v>
      </c>
      <c r="B57" s="465"/>
      <c r="G57" s="413"/>
      <c r="M57" s="436"/>
      <c r="N57" s="436"/>
      <c r="O57" s="436"/>
      <c r="P57" s="436"/>
      <c r="Q57" s="436"/>
      <c r="R57" s="436"/>
      <c r="S57" s="436"/>
      <c r="T57" s="436"/>
      <c r="U57" s="436"/>
      <c r="V57" s="436"/>
      <c r="W57" s="436"/>
      <c r="AQ57" s="411"/>
      <c r="AR57" s="404">
        <v>9</v>
      </c>
      <c r="AT57" s="412">
        <f t="shared" si="5"/>
        <v>91</v>
      </c>
    </row>
    <row r="58" spans="1:46" x14ac:dyDescent="0.2">
      <c r="A58" s="399"/>
      <c r="B58" s="465"/>
      <c r="G58" s="413"/>
      <c r="M58" s="436"/>
      <c r="N58" s="436"/>
      <c r="O58" s="436"/>
      <c r="P58" s="436"/>
      <c r="Q58" s="436"/>
      <c r="R58" s="436"/>
      <c r="S58" s="436"/>
      <c r="T58" s="436"/>
      <c r="U58" s="436"/>
      <c r="V58" s="436"/>
      <c r="W58" s="436"/>
      <c r="AQ58" s="411"/>
      <c r="AT58" s="412">
        <f t="shared" si="5"/>
        <v>91</v>
      </c>
    </row>
    <row r="59" spans="1:46" x14ac:dyDescent="0.2">
      <c r="A59" s="399"/>
      <c r="B59" s="465"/>
      <c r="G59" s="413"/>
      <c r="M59" s="436"/>
      <c r="N59" s="436"/>
      <c r="O59" s="436"/>
      <c r="P59" s="436"/>
      <c r="Q59" s="436"/>
      <c r="R59" s="436"/>
      <c r="S59" s="436"/>
      <c r="T59" s="436"/>
      <c r="U59" s="436"/>
      <c r="V59" s="436"/>
      <c r="W59" s="436"/>
      <c r="AQ59" s="411"/>
      <c r="AT59" s="412">
        <f t="shared" si="5"/>
        <v>91</v>
      </c>
    </row>
    <row r="60" spans="1:46" x14ac:dyDescent="0.2">
      <c r="A60" s="399">
        <v>7.05</v>
      </c>
      <c r="B60" s="465" t="s">
        <v>433</v>
      </c>
      <c r="C60" s="342">
        <v>21</v>
      </c>
      <c r="E60" s="342">
        <v>21</v>
      </c>
      <c r="F60" s="342">
        <v>105</v>
      </c>
      <c r="M60" s="436"/>
      <c r="N60" s="436"/>
      <c r="O60" s="436"/>
      <c r="P60" s="436"/>
      <c r="Q60" s="436"/>
      <c r="R60" s="436"/>
      <c r="S60" s="436"/>
      <c r="T60" s="436"/>
      <c r="U60" s="436"/>
      <c r="V60" s="436"/>
      <c r="W60" s="436"/>
      <c r="AN60" s="385" t="s">
        <v>434</v>
      </c>
      <c r="AO60" s="385">
        <v>14</v>
      </c>
      <c r="AQ60" s="414">
        <f>+AO60-AP60</f>
        <v>14</v>
      </c>
      <c r="AT60" s="415">
        <f>+AO60</f>
        <v>14</v>
      </c>
    </row>
    <row r="61" spans="1:46" x14ac:dyDescent="0.2">
      <c r="A61" s="399">
        <v>7.08</v>
      </c>
      <c r="B61" s="465"/>
      <c r="C61" s="342">
        <v>15</v>
      </c>
      <c r="E61" s="342">
        <v>10</v>
      </c>
      <c r="G61" s="342">
        <v>5</v>
      </c>
      <c r="H61" s="342">
        <v>40</v>
      </c>
      <c r="M61" s="436"/>
      <c r="N61" s="436"/>
      <c r="O61" s="436"/>
      <c r="P61" s="436"/>
      <c r="Q61" s="436"/>
      <c r="R61" s="436"/>
      <c r="S61" s="436"/>
      <c r="T61" s="436"/>
      <c r="U61" s="436"/>
      <c r="V61" s="436"/>
      <c r="W61" s="436"/>
      <c r="AN61" s="385" t="s">
        <v>434</v>
      </c>
      <c r="AO61" s="385">
        <v>34</v>
      </c>
      <c r="AQ61" s="414">
        <f>+AQ60+AO61-AP61</f>
        <v>48</v>
      </c>
      <c r="AT61" s="415">
        <f>+AT60+AO61-AR61+AS61</f>
        <v>48</v>
      </c>
    </row>
    <row r="62" spans="1:46" x14ac:dyDescent="0.2">
      <c r="A62" s="399">
        <v>7.09</v>
      </c>
      <c r="B62" s="465"/>
      <c r="C62" s="342">
        <v>100</v>
      </c>
      <c r="E62" s="342">
        <v>100</v>
      </c>
      <c r="M62" s="436"/>
      <c r="N62" s="436"/>
      <c r="O62" s="436"/>
      <c r="P62" s="436"/>
      <c r="Q62" s="436"/>
      <c r="R62" s="436"/>
      <c r="S62" s="436"/>
      <c r="T62" s="436"/>
      <c r="U62" s="436"/>
      <c r="V62" s="436"/>
      <c r="W62" s="436"/>
      <c r="AN62" s="385" t="s">
        <v>434</v>
      </c>
      <c r="AO62" s="385">
        <v>203</v>
      </c>
      <c r="AQ62" s="414">
        <f>+AQ61+AO62-AP62</f>
        <v>251</v>
      </c>
      <c r="AR62" s="404">
        <v>57</v>
      </c>
      <c r="AT62" s="415">
        <f>+AT61+AO62-AR62+AS62</f>
        <v>194</v>
      </c>
    </row>
    <row r="63" spans="1:46" x14ac:dyDescent="0.2">
      <c r="A63" s="399">
        <v>7.18</v>
      </c>
      <c r="B63" s="465"/>
      <c r="M63" s="436"/>
      <c r="N63" s="436"/>
      <c r="O63" s="436"/>
      <c r="P63" s="436"/>
      <c r="Q63" s="436"/>
      <c r="R63" s="436"/>
      <c r="S63" s="436"/>
      <c r="T63" s="436"/>
      <c r="U63" s="436"/>
      <c r="V63" s="436"/>
      <c r="W63" s="436"/>
      <c r="AQ63" s="414"/>
      <c r="AR63" s="404">
        <v>24</v>
      </c>
      <c r="AT63" s="415">
        <f>+AT62+AO63-AR63+AS63</f>
        <v>170</v>
      </c>
    </row>
    <row r="64" spans="1:46" x14ac:dyDescent="0.2">
      <c r="A64" s="399">
        <v>7.24</v>
      </c>
      <c r="B64" s="465"/>
      <c r="M64" s="436"/>
      <c r="N64" s="436"/>
      <c r="O64" s="436"/>
      <c r="P64" s="436"/>
      <c r="Q64" s="436"/>
      <c r="R64" s="436"/>
      <c r="S64" s="436"/>
      <c r="T64" s="436"/>
      <c r="U64" s="436"/>
      <c r="V64" s="436"/>
      <c r="W64" s="436"/>
      <c r="AQ64" s="414"/>
      <c r="AR64" s="404">
        <v>181</v>
      </c>
      <c r="AT64" s="415">
        <f>+AT63+AO64-AR64+AS64</f>
        <v>-11</v>
      </c>
    </row>
    <row r="65" spans="1:46" x14ac:dyDescent="0.2">
      <c r="A65" s="399">
        <v>7.21</v>
      </c>
      <c r="B65" s="465" t="s">
        <v>545</v>
      </c>
      <c r="C65" s="393">
        <f>+J65</f>
        <v>60</v>
      </c>
      <c r="I65" s="400">
        <v>76.923076923076906</v>
      </c>
      <c r="J65" s="347">
        <v>60</v>
      </c>
      <c r="K65" s="347"/>
      <c r="L65" s="431">
        <f>+I65-J65</f>
        <v>16.923076923076906</v>
      </c>
      <c r="M65" s="436">
        <v>10</v>
      </c>
      <c r="N65" s="436"/>
      <c r="O65" s="436"/>
      <c r="P65" s="436"/>
      <c r="Q65" s="436"/>
      <c r="R65" s="436"/>
      <c r="S65" s="436"/>
      <c r="T65" s="436" t="s">
        <v>545</v>
      </c>
      <c r="U65" s="437">
        <f>+J65+M65</f>
        <v>70</v>
      </c>
      <c r="V65" s="437">
        <f>+U65-W65</f>
        <v>42</v>
      </c>
      <c r="W65" s="436">
        <f>26+2</f>
        <v>28</v>
      </c>
      <c r="AQ65" s="438">
        <v>105</v>
      </c>
      <c r="AT65" s="439">
        <f>+AQ65</f>
        <v>105</v>
      </c>
    </row>
    <row r="66" spans="1:46" x14ac:dyDescent="0.2">
      <c r="A66" s="399">
        <v>7.28</v>
      </c>
      <c r="B66" s="465"/>
      <c r="I66" s="431">
        <v>246.50684931506851</v>
      </c>
      <c r="J66" s="347">
        <v>177</v>
      </c>
      <c r="K66" s="347"/>
      <c r="L66" s="431">
        <f>+I66-J66</f>
        <v>69.506849315068507</v>
      </c>
      <c r="M66" s="436">
        <v>29</v>
      </c>
      <c r="N66" s="436"/>
      <c r="O66" s="436"/>
      <c r="P66" s="436"/>
      <c r="Q66" s="436"/>
      <c r="R66" s="436"/>
      <c r="S66" s="436"/>
      <c r="T66" s="436" t="s">
        <v>545</v>
      </c>
      <c r="U66" s="437">
        <f>+J66+M66</f>
        <v>206</v>
      </c>
      <c r="V66" s="437">
        <f>+U66-W66</f>
        <v>112.4</v>
      </c>
      <c r="W66" s="436">
        <f>91+2.6</f>
        <v>93.6</v>
      </c>
      <c r="Y66" s="417"/>
      <c r="Z66" s="417"/>
      <c r="AA66" s="417"/>
      <c r="AB66" s="417"/>
      <c r="AC66" s="417"/>
      <c r="AD66" s="417"/>
      <c r="AE66" s="417"/>
      <c r="AF66" s="417"/>
      <c r="AG66" s="417"/>
      <c r="AH66" s="417"/>
      <c r="AI66" s="417"/>
      <c r="AJ66" s="417"/>
      <c r="AK66" s="417">
        <v>10</v>
      </c>
      <c r="AL66" s="417"/>
      <c r="AM66" s="417"/>
      <c r="AN66" s="417"/>
      <c r="AO66" s="417"/>
      <c r="AP66" s="417"/>
      <c r="AQ66" s="438">
        <v>281</v>
      </c>
      <c r="AT66" s="439">
        <f>+AT65+AQ66-AR66+AS66</f>
        <v>386</v>
      </c>
    </row>
    <row r="67" spans="1:46" x14ac:dyDescent="0.2">
      <c r="A67" s="399">
        <v>7.21</v>
      </c>
      <c r="B67" s="443" t="s">
        <v>156</v>
      </c>
      <c r="J67" s="342">
        <v>45</v>
      </c>
      <c r="L67" s="399">
        <f>57.6923076923077-J67</f>
        <v>12.692307692307701</v>
      </c>
      <c r="M67" s="436"/>
      <c r="N67" s="436"/>
      <c r="O67" s="436">
        <v>68.64</v>
      </c>
      <c r="P67" s="436">
        <v>39</v>
      </c>
      <c r="Q67" s="436">
        <f>+O67-P67</f>
        <v>29.64</v>
      </c>
      <c r="R67" s="436">
        <v>18</v>
      </c>
      <c r="S67" s="436"/>
      <c r="T67" s="436" t="s">
        <v>536</v>
      </c>
      <c r="U67" s="436">
        <f>+J67+R67</f>
        <v>63</v>
      </c>
      <c r="V67" s="437">
        <f>+U67-W67</f>
        <v>37</v>
      </c>
      <c r="W67" s="436">
        <v>26</v>
      </c>
      <c r="AQ67" s="440">
        <v>146</v>
      </c>
      <c r="AT67" s="441">
        <f>+AQ67</f>
        <v>146</v>
      </c>
    </row>
    <row r="68" spans="1:46" x14ac:dyDescent="0.2">
      <c r="A68" s="399"/>
      <c r="B68" s="443"/>
      <c r="L68" s="399"/>
      <c r="M68" s="436"/>
      <c r="N68" s="436"/>
      <c r="O68" s="436">
        <v>371.36</v>
      </c>
      <c r="P68" s="436">
        <v>185</v>
      </c>
      <c r="Q68" s="436">
        <f>+O68-P68</f>
        <v>186.36</v>
      </c>
      <c r="R68" s="436"/>
      <c r="S68" s="436"/>
      <c r="T68" s="436"/>
      <c r="U68" s="436"/>
      <c r="V68" s="437"/>
      <c r="W68" s="436"/>
      <c r="Y68" s="417"/>
      <c r="Z68" s="417"/>
      <c r="AA68" s="417"/>
      <c r="AB68" s="417"/>
      <c r="AC68" s="417"/>
      <c r="AD68" s="417"/>
      <c r="AE68" s="417"/>
      <c r="AF68" s="417"/>
      <c r="AG68" s="417"/>
      <c r="AH68" s="417"/>
      <c r="AI68" s="417"/>
      <c r="AJ68" s="417"/>
      <c r="AK68" s="417"/>
      <c r="AL68" s="417"/>
      <c r="AM68" s="417"/>
      <c r="AN68" s="417"/>
      <c r="AO68" s="417"/>
      <c r="AP68" s="417"/>
      <c r="AQ68" s="440"/>
      <c r="AT68" s="441"/>
    </row>
    <row r="69" spans="1:46" x14ac:dyDescent="0.2">
      <c r="A69" s="342">
        <v>7.25</v>
      </c>
      <c r="B69" s="442" t="s">
        <v>130</v>
      </c>
      <c r="K69" s="342">
        <v>232</v>
      </c>
      <c r="L69" s="342">
        <v>2</v>
      </c>
      <c r="M69" s="436"/>
      <c r="N69" s="436"/>
      <c r="O69" s="436"/>
      <c r="P69" s="436"/>
      <c r="Q69" s="436"/>
      <c r="R69" s="436"/>
      <c r="S69" s="436"/>
      <c r="T69" s="436"/>
      <c r="U69" s="436"/>
      <c r="V69" s="436"/>
      <c r="W69" s="436"/>
      <c r="AQ69" s="404">
        <v>230</v>
      </c>
      <c r="AT69" s="393">
        <f>+AQ69</f>
        <v>230</v>
      </c>
    </row>
    <row r="70" spans="1:46" x14ac:dyDescent="0.2">
      <c r="M70" s="436"/>
      <c r="N70" s="436"/>
      <c r="O70" s="436"/>
      <c r="P70" s="436"/>
      <c r="Q70" s="436"/>
      <c r="R70" s="436"/>
      <c r="S70" s="436"/>
      <c r="T70" s="436"/>
      <c r="U70" s="436"/>
      <c r="V70" s="436"/>
      <c r="W70" s="436"/>
    </row>
    <row r="71" spans="1:46" x14ac:dyDescent="0.2">
      <c r="M71" s="436"/>
      <c r="N71" s="436"/>
      <c r="O71" s="436"/>
      <c r="P71" s="436"/>
      <c r="Q71" s="436"/>
      <c r="R71" s="436"/>
      <c r="S71" s="436"/>
      <c r="T71" s="436"/>
      <c r="U71" s="436"/>
      <c r="V71" s="436"/>
      <c r="W71" s="436"/>
    </row>
    <row r="72" spans="1:46" x14ac:dyDescent="0.2">
      <c r="M72" s="436"/>
      <c r="N72" s="436"/>
      <c r="O72" s="436"/>
      <c r="P72" s="436"/>
      <c r="Q72" s="436"/>
      <c r="R72" s="436"/>
      <c r="S72" s="436"/>
      <c r="T72" s="436"/>
      <c r="U72" s="436"/>
      <c r="V72" s="436"/>
      <c r="W72" s="436"/>
    </row>
    <row r="73" spans="1:46" x14ac:dyDescent="0.2">
      <c r="M73" s="436"/>
      <c r="N73" s="436"/>
      <c r="O73" s="436"/>
      <c r="P73" s="436"/>
      <c r="Q73" s="436"/>
      <c r="R73" s="436"/>
      <c r="S73" s="436"/>
      <c r="T73" s="436"/>
      <c r="U73" s="436"/>
      <c r="V73" s="436"/>
      <c r="W73" s="436"/>
    </row>
    <row r="74" spans="1:46" x14ac:dyDescent="0.2">
      <c r="M74" s="436"/>
      <c r="N74" s="436"/>
      <c r="O74" s="436"/>
      <c r="P74" s="436"/>
      <c r="Q74" s="436"/>
      <c r="R74" s="436"/>
      <c r="S74" s="436"/>
      <c r="T74" s="436"/>
      <c r="U74" s="436"/>
      <c r="V74" s="436"/>
      <c r="W74" s="436"/>
    </row>
    <row r="75" spans="1:46" x14ac:dyDescent="0.2">
      <c r="M75" s="436"/>
      <c r="N75" s="436"/>
      <c r="O75" s="436"/>
      <c r="P75" s="436"/>
      <c r="Q75" s="436"/>
      <c r="R75" s="436"/>
      <c r="S75" s="436"/>
      <c r="T75" s="436"/>
      <c r="U75" s="436"/>
      <c r="V75" s="436"/>
      <c r="W75" s="436"/>
    </row>
    <row r="76" spans="1:46" x14ac:dyDescent="0.2">
      <c r="M76" s="436"/>
      <c r="N76" s="436"/>
      <c r="O76" s="436"/>
      <c r="P76" s="436"/>
      <c r="Q76" s="436"/>
      <c r="R76" s="436"/>
      <c r="S76" s="436"/>
      <c r="T76" s="436"/>
      <c r="U76" s="436"/>
      <c r="V76" s="436"/>
      <c r="W76" s="436"/>
    </row>
    <row r="77" spans="1:46" x14ac:dyDescent="0.2">
      <c r="M77" s="436"/>
      <c r="N77" s="436"/>
      <c r="O77" s="436"/>
      <c r="P77" s="436"/>
      <c r="Q77" s="436"/>
      <c r="R77" s="436"/>
      <c r="S77" s="436"/>
      <c r="T77" s="436"/>
      <c r="U77" s="436"/>
      <c r="V77" s="436"/>
      <c r="W77" s="436"/>
    </row>
    <row r="78" spans="1:46" x14ac:dyDescent="0.2">
      <c r="M78" s="436"/>
      <c r="N78" s="436"/>
      <c r="O78" s="436"/>
      <c r="P78" s="436"/>
      <c r="Q78" s="436"/>
      <c r="R78" s="436"/>
      <c r="S78" s="436"/>
      <c r="T78" s="436"/>
      <c r="U78" s="436"/>
      <c r="V78" s="436"/>
      <c r="W78" s="436"/>
    </row>
    <row r="79" spans="1:46" x14ac:dyDescent="0.2">
      <c r="M79" s="436"/>
      <c r="N79" s="436"/>
      <c r="O79" s="436"/>
      <c r="P79" s="436"/>
      <c r="Q79" s="436"/>
      <c r="R79" s="436"/>
      <c r="S79" s="436"/>
      <c r="T79" s="436"/>
      <c r="U79" s="436"/>
      <c r="V79" s="436"/>
      <c r="W79" s="436"/>
    </row>
    <row r="80" spans="1:46" x14ac:dyDescent="0.2">
      <c r="M80" s="436"/>
      <c r="N80" s="436"/>
      <c r="O80" s="436"/>
      <c r="P80" s="436"/>
      <c r="Q80" s="436"/>
      <c r="R80" s="436"/>
      <c r="S80" s="436"/>
      <c r="T80" s="436"/>
      <c r="U80" s="436"/>
      <c r="V80" s="436"/>
      <c r="W80" s="436"/>
    </row>
    <row r="81" spans="13:23" x14ac:dyDescent="0.2">
      <c r="M81" s="436"/>
      <c r="N81" s="436"/>
      <c r="O81" s="436"/>
      <c r="P81" s="436"/>
      <c r="Q81" s="436"/>
      <c r="R81" s="436"/>
      <c r="S81" s="436"/>
      <c r="T81" s="436"/>
      <c r="U81" s="436"/>
      <c r="V81" s="436"/>
      <c r="W81" s="436"/>
    </row>
    <row r="82" spans="13:23" x14ac:dyDescent="0.2">
      <c r="M82" s="436"/>
      <c r="N82" s="436"/>
      <c r="O82" s="436"/>
      <c r="P82" s="436"/>
      <c r="Q82" s="436"/>
      <c r="R82" s="436"/>
      <c r="S82" s="436"/>
      <c r="T82" s="436"/>
      <c r="U82" s="436"/>
      <c r="V82" s="436"/>
      <c r="W82" s="436"/>
    </row>
    <row r="83" spans="13:23" x14ac:dyDescent="0.2">
      <c r="M83" s="436"/>
      <c r="N83" s="436"/>
      <c r="O83" s="436"/>
      <c r="P83" s="436"/>
      <c r="Q83" s="436"/>
      <c r="R83" s="436"/>
      <c r="S83" s="436"/>
      <c r="T83" s="436"/>
      <c r="U83" s="436"/>
      <c r="V83" s="436"/>
      <c r="W83" s="436"/>
    </row>
    <row r="84" spans="13:23" x14ac:dyDescent="0.2">
      <c r="M84" s="436"/>
      <c r="N84" s="436"/>
      <c r="O84" s="436"/>
      <c r="P84" s="436"/>
      <c r="Q84" s="436"/>
      <c r="R84" s="436"/>
      <c r="S84" s="436"/>
      <c r="T84" s="436"/>
      <c r="U84" s="436"/>
      <c r="V84" s="436"/>
      <c r="W84" s="436"/>
    </row>
    <row r="85" spans="13:23" x14ac:dyDescent="0.2">
      <c r="M85" s="436"/>
      <c r="N85" s="436"/>
      <c r="O85" s="436"/>
      <c r="P85" s="436"/>
      <c r="Q85" s="436"/>
      <c r="R85" s="436"/>
      <c r="S85" s="436"/>
      <c r="T85" s="436"/>
      <c r="U85" s="436"/>
      <c r="V85" s="436"/>
      <c r="W85" s="436"/>
    </row>
    <row r="86" spans="13:23" x14ac:dyDescent="0.2">
      <c r="M86" s="436"/>
      <c r="N86" s="436"/>
      <c r="O86" s="436"/>
      <c r="P86" s="436"/>
      <c r="Q86" s="436"/>
      <c r="R86" s="436"/>
      <c r="S86" s="436"/>
      <c r="T86" s="436"/>
      <c r="U86" s="436"/>
      <c r="V86" s="436"/>
      <c r="W86" s="436"/>
    </row>
    <row r="87" spans="13:23" x14ac:dyDescent="0.2">
      <c r="M87" s="436"/>
      <c r="N87" s="436"/>
      <c r="O87" s="436"/>
      <c r="P87" s="436"/>
      <c r="Q87" s="436"/>
      <c r="R87" s="436"/>
      <c r="S87" s="436"/>
      <c r="T87" s="436"/>
      <c r="U87" s="436"/>
      <c r="V87" s="436"/>
      <c r="W87" s="436"/>
    </row>
    <row r="88" spans="13:23" x14ac:dyDescent="0.2">
      <c r="M88" s="436"/>
      <c r="N88" s="436"/>
      <c r="O88" s="436"/>
      <c r="P88" s="436"/>
      <c r="Q88" s="436"/>
      <c r="R88" s="436"/>
      <c r="S88" s="436"/>
      <c r="T88" s="436"/>
      <c r="U88" s="436"/>
      <c r="V88" s="436"/>
      <c r="W88" s="436"/>
    </row>
    <row r="89" spans="13:23" x14ac:dyDescent="0.2">
      <c r="M89" s="436"/>
      <c r="N89" s="436"/>
      <c r="O89" s="436"/>
      <c r="P89" s="436"/>
      <c r="Q89" s="436"/>
      <c r="R89" s="436"/>
      <c r="S89" s="436"/>
      <c r="T89" s="436"/>
      <c r="U89" s="436"/>
      <c r="V89" s="436"/>
      <c r="W89" s="436"/>
    </row>
    <row r="90" spans="13:23" x14ac:dyDescent="0.2">
      <c r="M90" s="436"/>
      <c r="N90" s="436"/>
      <c r="O90" s="436"/>
      <c r="P90" s="436"/>
      <c r="Q90" s="436"/>
      <c r="R90" s="436"/>
      <c r="S90" s="436"/>
      <c r="T90" s="436"/>
      <c r="U90" s="436"/>
      <c r="V90" s="436"/>
      <c r="W90" s="436"/>
    </row>
    <row r="91" spans="13:23" x14ac:dyDescent="0.2">
      <c r="M91" s="436"/>
      <c r="N91" s="436"/>
      <c r="O91" s="436"/>
      <c r="P91" s="436"/>
      <c r="Q91" s="436"/>
      <c r="R91" s="436"/>
      <c r="S91" s="436"/>
      <c r="T91" s="436"/>
      <c r="U91" s="436"/>
      <c r="V91" s="436"/>
      <c r="W91" s="436"/>
    </row>
    <row r="92" spans="13:23" x14ac:dyDescent="0.2">
      <c r="M92" s="436"/>
      <c r="N92" s="436"/>
      <c r="O92" s="436"/>
      <c r="P92" s="436"/>
      <c r="Q92" s="436"/>
      <c r="R92" s="436"/>
      <c r="S92" s="436"/>
      <c r="T92" s="436"/>
      <c r="U92" s="436"/>
      <c r="V92" s="436"/>
      <c r="W92" s="436"/>
    </row>
    <row r="93" spans="13:23" x14ac:dyDescent="0.2">
      <c r="M93" s="436"/>
      <c r="N93" s="436"/>
      <c r="O93" s="436"/>
      <c r="P93" s="436"/>
      <c r="Q93" s="436"/>
      <c r="R93" s="436"/>
      <c r="S93" s="436"/>
      <c r="T93" s="436"/>
      <c r="U93" s="436"/>
      <c r="V93" s="436"/>
      <c r="W93" s="436"/>
    </row>
    <row r="94" spans="13:23" x14ac:dyDescent="0.2">
      <c r="M94" s="436"/>
      <c r="N94" s="436"/>
      <c r="O94" s="436"/>
      <c r="P94" s="436"/>
      <c r="Q94" s="436"/>
      <c r="R94" s="436"/>
      <c r="S94" s="436"/>
      <c r="T94" s="436"/>
      <c r="U94" s="436"/>
      <c r="V94" s="436"/>
      <c r="W94" s="436"/>
    </row>
    <row r="95" spans="13:23" x14ac:dyDescent="0.2">
      <c r="M95" s="436"/>
      <c r="N95" s="436"/>
      <c r="O95" s="436"/>
      <c r="P95" s="436"/>
      <c r="Q95" s="436"/>
      <c r="R95" s="436"/>
      <c r="S95" s="436"/>
      <c r="T95" s="436"/>
      <c r="U95" s="436"/>
      <c r="V95" s="436"/>
      <c r="W95" s="436"/>
    </row>
    <row r="96" spans="13:23" x14ac:dyDescent="0.2">
      <c r="M96" s="436"/>
      <c r="N96" s="436"/>
      <c r="O96" s="436"/>
      <c r="P96" s="436"/>
      <c r="Q96" s="436"/>
      <c r="R96" s="436"/>
      <c r="S96" s="436"/>
      <c r="T96" s="436"/>
      <c r="U96" s="436"/>
      <c r="V96" s="436"/>
      <c r="W96" s="436"/>
    </row>
    <row r="97" spans="13:23" x14ac:dyDescent="0.2">
      <c r="M97" s="436"/>
      <c r="N97" s="436"/>
      <c r="O97" s="436"/>
      <c r="P97" s="436"/>
      <c r="Q97" s="436"/>
      <c r="R97" s="436"/>
      <c r="S97" s="436"/>
      <c r="T97" s="436"/>
      <c r="U97" s="436"/>
      <c r="V97" s="436"/>
      <c r="W97" s="436"/>
    </row>
    <row r="98" spans="13:23" x14ac:dyDescent="0.2">
      <c r="M98" s="436"/>
      <c r="N98" s="436"/>
      <c r="O98" s="436"/>
      <c r="P98" s="436"/>
      <c r="Q98" s="436"/>
      <c r="R98" s="436"/>
      <c r="S98" s="436"/>
      <c r="T98" s="436"/>
      <c r="U98" s="436"/>
      <c r="V98" s="436"/>
      <c r="W98" s="436"/>
    </row>
    <row r="99" spans="13:23" x14ac:dyDescent="0.2">
      <c r="M99" s="436"/>
      <c r="N99" s="436"/>
      <c r="O99" s="436"/>
      <c r="P99" s="436"/>
      <c r="Q99" s="436"/>
      <c r="R99" s="436"/>
      <c r="S99" s="436"/>
      <c r="T99" s="436"/>
      <c r="U99" s="436"/>
      <c r="V99" s="436"/>
      <c r="W99" s="436"/>
    </row>
    <row r="100" spans="13:23" x14ac:dyDescent="0.2">
      <c r="M100" s="436"/>
      <c r="N100" s="436"/>
      <c r="O100" s="436"/>
      <c r="P100" s="436"/>
      <c r="Q100" s="436"/>
      <c r="R100" s="436"/>
      <c r="S100" s="436"/>
      <c r="T100" s="436"/>
      <c r="U100" s="436"/>
      <c r="V100" s="436"/>
      <c r="W100" s="436"/>
    </row>
    <row r="101" spans="13:23" x14ac:dyDescent="0.2">
      <c r="M101" s="436"/>
      <c r="N101" s="436"/>
      <c r="O101" s="436"/>
      <c r="P101" s="436"/>
      <c r="Q101" s="436"/>
      <c r="R101" s="436"/>
      <c r="S101" s="436"/>
      <c r="T101" s="436"/>
      <c r="U101" s="436"/>
      <c r="V101" s="436"/>
      <c r="W101" s="436"/>
    </row>
    <row r="102" spans="13:23" x14ac:dyDescent="0.2">
      <c r="M102" s="436"/>
      <c r="N102" s="436"/>
      <c r="O102" s="436"/>
      <c r="P102" s="436"/>
      <c r="Q102" s="436"/>
      <c r="R102" s="436"/>
      <c r="S102" s="436"/>
      <c r="T102" s="436"/>
      <c r="U102" s="436"/>
      <c r="V102" s="436"/>
      <c r="W102" s="436"/>
    </row>
    <row r="103" spans="13:23" x14ac:dyDescent="0.2">
      <c r="M103" s="436"/>
      <c r="N103" s="436"/>
      <c r="O103" s="436"/>
      <c r="P103" s="436"/>
      <c r="Q103" s="436"/>
      <c r="R103" s="436"/>
      <c r="S103" s="436"/>
      <c r="T103" s="436"/>
      <c r="U103" s="436"/>
      <c r="V103" s="436"/>
      <c r="W103" s="436"/>
    </row>
    <row r="104" spans="13:23" x14ac:dyDescent="0.2">
      <c r="M104" s="436"/>
      <c r="N104" s="436"/>
      <c r="O104" s="436"/>
      <c r="P104" s="436"/>
      <c r="Q104" s="436"/>
      <c r="R104" s="436"/>
      <c r="S104" s="436"/>
      <c r="T104" s="436"/>
      <c r="U104" s="436"/>
      <c r="V104" s="436"/>
      <c r="W104" s="436"/>
    </row>
    <row r="105" spans="13:23" x14ac:dyDescent="0.2">
      <c r="M105" s="436"/>
      <c r="N105" s="436"/>
      <c r="O105" s="436"/>
      <c r="P105" s="436"/>
      <c r="Q105" s="436"/>
      <c r="R105" s="436"/>
      <c r="S105" s="436"/>
      <c r="T105" s="436"/>
      <c r="U105" s="436"/>
      <c r="V105" s="436"/>
      <c r="W105" s="436"/>
    </row>
    <row r="106" spans="13:23" x14ac:dyDescent="0.2">
      <c r="M106" s="436"/>
      <c r="N106" s="436"/>
      <c r="O106" s="436"/>
      <c r="P106" s="436"/>
      <c r="Q106" s="436"/>
      <c r="R106" s="436"/>
      <c r="S106" s="436"/>
      <c r="T106" s="436"/>
      <c r="U106" s="436"/>
      <c r="V106" s="436"/>
      <c r="W106" s="436"/>
    </row>
    <row r="107" spans="13:23" x14ac:dyDescent="0.2">
      <c r="M107" s="436"/>
      <c r="N107" s="436"/>
      <c r="O107" s="436"/>
      <c r="P107" s="436"/>
      <c r="Q107" s="436"/>
      <c r="R107" s="436"/>
      <c r="S107" s="436"/>
      <c r="T107" s="436"/>
      <c r="U107" s="436"/>
      <c r="V107" s="436"/>
      <c r="W107" s="436"/>
    </row>
    <row r="108" spans="13:23" x14ac:dyDescent="0.2">
      <c r="M108" s="436"/>
      <c r="N108" s="436"/>
      <c r="O108" s="436"/>
      <c r="P108" s="436"/>
      <c r="Q108" s="436"/>
      <c r="R108" s="436"/>
      <c r="S108" s="436"/>
      <c r="T108" s="436"/>
      <c r="U108" s="436"/>
      <c r="V108" s="436"/>
      <c r="W108" s="436"/>
    </row>
    <row r="109" spans="13:23" x14ac:dyDescent="0.2">
      <c r="M109" s="436"/>
      <c r="N109" s="436"/>
      <c r="O109" s="436"/>
      <c r="P109" s="436"/>
      <c r="Q109" s="436"/>
      <c r="R109" s="436"/>
      <c r="S109" s="436"/>
      <c r="T109" s="436"/>
      <c r="U109" s="436"/>
      <c r="V109" s="436"/>
      <c r="W109" s="436"/>
    </row>
    <row r="110" spans="13:23" x14ac:dyDescent="0.2">
      <c r="M110" s="436"/>
      <c r="N110" s="436"/>
      <c r="O110" s="436"/>
      <c r="P110" s="436"/>
      <c r="Q110" s="436"/>
      <c r="R110" s="436"/>
      <c r="S110" s="436"/>
      <c r="T110" s="436"/>
      <c r="U110" s="436"/>
      <c r="V110" s="436"/>
      <c r="W110" s="436"/>
    </row>
    <row r="111" spans="13:23" x14ac:dyDescent="0.2">
      <c r="M111" s="436"/>
      <c r="N111" s="436"/>
      <c r="O111" s="436"/>
      <c r="P111" s="436"/>
      <c r="Q111" s="436"/>
      <c r="R111" s="436"/>
      <c r="S111" s="436"/>
      <c r="T111" s="436"/>
      <c r="U111" s="436"/>
      <c r="V111" s="436"/>
      <c r="W111" s="436"/>
    </row>
    <row r="112" spans="13:23" x14ac:dyDescent="0.2">
      <c r="M112" s="436"/>
      <c r="N112" s="436"/>
      <c r="O112" s="436"/>
      <c r="P112" s="436"/>
      <c r="Q112" s="436"/>
      <c r="R112" s="436"/>
      <c r="S112" s="436"/>
      <c r="T112" s="436"/>
      <c r="U112" s="436"/>
      <c r="V112" s="436"/>
      <c r="W112" s="436"/>
    </row>
    <row r="113" spans="13:23" x14ac:dyDescent="0.2">
      <c r="M113" s="436"/>
      <c r="N113" s="436"/>
      <c r="O113" s="436"/>
      <c r="P113" s="436"/>
      <c r="Q113" s="436"/>
      <c r="R113" s="436"/>
      <c r="S113" s="436"/>
      <c r="T113" s="436"/>
      <c r="U113" s="436"/>
      <c r="V113" s="436"/>
      <c r="W113" s="436"/>
    </row>
    <row r="114" spans="13:23" x14ac:dyDescent="0.2">
      <c r="M114" s="436"/>
      <c r="N114" s="436"/>
      <c r="O114" s="436"/>
      <c r="P114" s="436"/>
      <c r="Q114" s="436"/>
      <c r="R114" s="436"/>
      <c r="S114" s="436"/>
      <c r="T114" s="436"/>
      <c r="U114" s="436"/>
      <c r="V114" s="436"/>
      <c r="W114" s="436"/>
    </row>
    <row r="115" spans="13:23" x14ac:dyDescent="0.2">
      <c r="M115" s="436"/>
      <c r="N115" s="436"/>
      <c r="O115" s="436"/>
      <c r="P115" s="436"/>
      <c r="Q115" s="436"/>
      <c r="R115" s="436"/>
      <c r="S115" s="436"/>
      <c r="T115" s="436"/>
      <c r="U115" s="436"/>
      <c r="V115" s="436"/>
      <c r="W115" s="436"/>
    </row>
    <row r="116" spans="13:23" x14ac:dyDescent="0.2">
      <c r="M116" s="436"/>
      <c r="N116" s="436"/>
      <c r="O116" s="436"/>
      <c r="P116" s="436"/>
      <c r="Q116" s="436"/>
      <c r="R116" s="436"/>
      <c r="S116" s="436"/>
      <c r="T116" s="436"/>
      <c r="U116" s="436"/>
      <c r="V116" s="436"/>
      <c r="W116" s="436"/>
    </row>
    <row r="117" spans="13:23" x14ac:dyDescent="0.2">
      <c r="M117" s="436"/>
      <c r="N117" s="436"/>
      <c r="O117" s="436"/>
      <c r="P117" s="436"/>
      <c r="Q117" s="436"/>
      <c r="R117" s="436"/>
      <c r="S117" s="436"/>
      <c r="T117" s="436"/>
      <c r="U117" s="436"/>
      <c r="V117" s="436"/>
      <c r="W117" s="436"/>
    </row>
    <row r="118" spans="13:23" x14ac:dyDescent="0.2">
      <c r="M118" s="436"/>
      <c r="N118" s="436"/>
      <c r="O118" s="436"/>
      <c r="P118" s="436"/>
      <c r="Q118" s="436"/>
      <c r="R118" s="436"/>
      <c r="S118" s="436"/>
      <c r="T118" s="436"/>
      <c r="U118" s="436"/>
      <c r="V118" s="436"/>
      <c r="W118" s="436"/>
    </row>
    <row r="119" spans="13:23" x14ac:dyDescent="0.2">
      <c r="M119" s="436"/>
      <c r="N119" s="436"/>
      <c r="O119" s="436"/>
      <c r="P119" s="436"/>
      <c r="Q119" s="436"/>
      <c r="R119" s="436"/>
      <c r="S119" s="436"/>
      <c r="T119" s="436"/>
      <c r="U119" s="436"/>
      <c r="V119" s="436"/>
      <c r="W119" s="436"/>
    </row>
    <row r="120" spans="13:23" x14ac:dyDescent="0.2">
      <c r="M120" s="436"/>
      <c r="N120" s="436"/>
      <c r="O120" s="436"/>
      <c r="P120" s="436"/>
      <c r="Q120" s="436"/>
      <c r="R120" s="436"/>
      <c r="S120" s="436"/>
      <c r="T120" s="436"/>
      <c r="U120" s="436"/>
      <c r="V120" s="436"/>
      <c r="W120" s="436"/>
    </row>
    <row r="121" spans="13:23" x14ac:dyDescent="0.2">
      <c r="M121" s="436"/>
      <c r="N121" s="436"/>
      <c r="O121" s="436"/>
      <c r="P121" s="436"/>
      <c r="Q121" s="436"/>
      <c r="R121" s="436"/>
      <c r="S121" s="436"/>
      <c r="T121" s="436"/>
      <c r="U121" s="436"/>
      <c r="V121" s="436"/>
      <c r="W121" s="436"/>
    </row>
    <row r="122" spans="13:23" x14ac:dyDescent="0.2">
      <c r="M122" s="436"/>
      <c r="N122" s="436"/>
      <c r="O122" s="436"/>
      <c r="P122" s="436"/>
      <c r="Q122" s="436"/>
      <c r="R122" s="436"/>
      <c r="S122" s="436"/>
      <c r="T122" s="436"/>
      <c r="U122" s="436"/>
      <c r="V122" s="436"/>
      <c r="W122" s="436"/>
    </row>
    <row r="123" spans="13:23" x14ac:dyDescent="0.2">
      <c r="M123" s="436"/>
      <c r="N123" s="436"/>
      <c r="O123" s="436"/>
      <c r="P123" s="436"/>
      <c r="Q123" s="436"/>
      <c r="R123" s="436"/>
      <c r="S123" s="436"/>
      <c r="T123" s="436"/>
      <c r="U123" s="436"/>
      <c r="V123" s="436"/>
      <c r="W123" s="436"/>
    </row>
    <row r="124" spans="13:23" x14ac:dyDescent="0.2">
      <c r="M124" s="436"/>
      <c r="N124" s="436"/>
      <c r="O124" s="436"/>
      <c r="P124" s="436"/>
      <c r="Q124" s="436"/>
      <c r="R124" s="436"/>
      <c r="S124" s="436"/>
      <c r="T124" s="436"/>
      <c r="U124" s="436"/>
      <c r="V124" s="436"/>
      <c r="W124" s="436"/>
    </row>
    <row r="125" spans="13:23" x14ac:dyDescent="0.2">
      <c r="M125" s="436"/>
      <c r="N125" s="436"/>
      <c r="O125" s="436"/>
      <c r="P125" s="436"/>
      <c r="Q125" s="436"/>
      <c r="R125" s="436"/>
      <c r="S125" s="436"/>
      <c r="T125" s="436"/>
      <c r="U125" s="436"/>
      <c r="V125" s="436"/>
      <c r="W125" s="436"/>
    </row>
    <row r="126" spans="13:23" x14ac:dyDescent="0.2">
      <c r="M126" s="436"/>
      <c r="N126" s="436"/>
      <c r="O126" s="436"/>
      <c r="P126" s="436"/>
      <c r="Q126" s="436"/>
      <c r="R126" s="436"/>
      <c r="S126" s="436"/>
      <c r="T126" s="436"/>
      <c r="U126" s="436"/>
      <c r="V126" s="436"/>
      <c r="W126" s="436"/>
    </row>
    <row r="127" spans="13:23" x14ac:dyDescent="0.2">
      <c r="M127" s="436"/>
      <c r="N127" s="436"/>
      <c r="O127" s="436"/>
      <c r="P127" s="436"/>
      <c r="Q127" s="436"/>
      <c r="R127" s="436"/>
      <c r="S127" s="436"/>
      <c r="T127" s="436"/>
      <c r="U127" s="436"/>
      <c r="V127" s="436"/>
      <c r="W127" s="436"/>
    </row>
    <row r="128" spans="13:23" x14ac:dyDescent="0.2">
      <c r="M128" s="436"/>
      <c r="N128" s="436"/>
      <c r="O128" s="436"/>
      <c r="P128" s="436"/>
      <c r="Q128" s="436"/>
      <c r="R128" s="436"/>
      <c r="S128" s="436"/>
      <c r="T128" s="436"/>
      <c r="U128" s="436"/>
      <c r="V128" s="436"/>
      <c r="W128" s="436"/>
    </row>
    <row r="129" spans="13:23" x14ac:dyDescent="0.2">
      <c r="M129" s="436"/>
      <c r="N129" s="436"/>
      <c r="O129" s="436"/>
      <c r="P129" s="436"/>
      <c r="Q129" s="436"/>
      <c r="R129" s="436"/>
      <c r="S129" s="436"/>
      <c r="T129" s="436"/>
      <c r="U129" s="436"/>
      <c r="V129" s="436"/>
      <c r="W129" s="436"/>
    </row>
    <row r="130" spans="13:23" x14ac:dyDescent="0.2">
      <c r="M130" s="436"/>
      <c r="N130" s="436"/>
      <c r="O130" s="436"/>
      <c r="P130" s="436"/>
      <c r="Q130" s="436"/>
      <c r="R130" s="436"/>
      <c r="S130" s="436"/>
      <c r="T130" s="436"/>
      <c r="U130" s="436"/>
      <c r="V130" s="436"/>
      <c r="W130" s="436"/>
    </row>
    <row r="131" spans="13:23" x14ac:dyDescent="0.2">
      <c r="M131" s="436"/>
      <c r="N131" s="436"/>
      <c r="O131" s="436"/>
      <c r="P131" s="436"/>
      <c r="Q131" s="436"/>
      <c r="R131" s="436"/>
      <c r="S131" s="436"/>
      <c r="T131" s="436"/>
      <c r="U131" s="436"/>
      <c r="V131" s="436"/>
      <c r="W131" s="436"/>
    </row>
    <row r="132" spans="13:23" x14ac:dyDescent="0.2">
      <c r="M132" s="436"/>
      <c r="N132" s="436"/>
      <c r="O132" s="436"/>
      <c r="P132" s="436"/>
      <c r="Q132" s="436"/>
      <c r="R132" s="436"/>
      <c r="S132" s="436"/>
      <c r="T132" s="436"/>
      <c r="U132" s="436"/>
      <c r="V132" s="436"/>
      <c r="W132" s="436"/>
    </row>
    <row r="133" spans="13:23" x14ac:dyDescent="0.2">
      <c r="M133" s="436"/>
      <c r="N133" s="436"/>
      <c r="O133" s="436"/>
      <c r="P133" s="436"/>
      <c r="Q133" s="436"/>
      <c r="R133" s="436"/>
      <c r="S133" s="436"/>
      <c r="T133" s="436"/>
      <c r="U133" s="436"/>
      <c r="V133" s="436"/>
      <c r="W133" s="436"/>
    </row>
    <row r="134" spans="13:23" x14ac:dyDescent="0.2">
      <c r="M134" s="436"/>
      <c r="N134" s="436"/>
      <c r="O134" s="436"/>
      <c r="P134" s="436"/>
      <c r="Q134" s="436"/>
      <c r="R134" s="436"/>
      <c r="S134" s="436"/>
      <c r="T134" s="436"/>
      <c r="U134" s="436"/>
      <c r="V134" s="436"/>
      <c r="W134" s="436"/>
    </row>
    <row r="135" spans="13:23" x14ac:dyDescent="0.2">
      <c r="M135" s="436"/>
      <c r="N135" s="436"/>
      <c r="O135" s="436"/>
      <c r="P135" s="436"/>
      <c r="Q135" s="436"/>
      <c r="R135" s="436"/>
      <c r="S135" s="436"/>
      <c r="T135" s="436"/>
      <c r="U135" s="436"/>
      <c r="V135" s="436"/>
      <c r="W135" s="436"/>
    </row>
    <row r="136" spans="13:23" x14ac:dyDescent="0.2">
      <c r="M136" s="436"/>
      <c r="N136" s="436"/>
      <c r="O136" s="436"/>
      <c r="P136" s="436"/>
      <c r="Q136" s="436"/>
      <c r="R136" s="436"/>
      <c r="S136" s="436"/>
      <c r="T136" s="436"/>
      <c r="U136" s="436"/>
      <c r="V136" s="436"/>
      <c r="W136" s="436"/>
    </row>
    <row r="137" spans="13:23" x14ac:dyDescent="0.2">
      <c r="M137" s="436"/>
      <c r="N137" s="436"/>
      <c r="O137" s="436"/>
      <c r="P137" s="436"/>
      <c r="Q137" s="436"/>
      <c r="R137" s="436"/>
      <c r="S137" s="436"/>
      <c r="T137" s="436"/>
      <c r="U137" s="436"/>
      <c r="V137" s="436"/>
      <c r="W137" s="436"/>
    </row>
    <row r="138" spans="13:23" x14ac:dyDescent="0.2">
      <c r="M138" s="436"/>
      <c r="N138" s="436"/>
      <c r="O138" s="436"/>
      <c r="P138" s="436"/>
      <c r="Q138" s="436"/>
      <c r="R138" s="436"/>
      <c r="S138" s="436"/>
      <c r="T138" s="436"/>
      <c r="U138" s="436"/>
      <c r="V138" s="436"/>
      <c r="W138" s="436"/>
    </row>
    <row r="139" spans="13:23" x14ac:dyDescent="0.2">
      <c r="M139" s="436"/>
      <c r="N139" s="436"/>
      <c r="O139" s="436"/>
      <c r="P139" s="436"/>
      <c r="Q139" s="436"/>
      <c r="R139" s="436"/>
      <c r="S139" s="436"/>
      <c r="T139" s="436"/>
      <c r="U139" s="436"/>
      <c r="V139" s="436"/>
      <c r="W139" s="436"/>
    </row>
    <row r="140" spans="13:23" x14ac:dyDescent="0.2">
      <c r="M140" s="436"/>
      <c r="N140" s="436"/>
      <c r="O140" s="436"/>
      <c r="P140" s="436"/>
      <c r="Q140" s="436"/>
      <c r="R140" s="436"/>
      <c r="S140" s="436"/>
      <c r="T140" s="436"/>
      <c r="U140" s="436"/>
      <c r="V140" s="436"/>
      <c r="W140" s="436"/>
    </row>
    <row r="141" spans="13:23" x14ac:dyDescent="0.2">
      <c r="M141" s="436"/>
      <c r="N141" s="436"/>
      <c r="O141" s="436"/>
      <c r="P141" s="436"/>
      <c r="Q141" s="436"/>
      <c r="R141" s="436"/>
      <c r="S141" s="436"/>
      <c r="T141" s="436"/>
      <c r="U141" s="436"/>
      <c r="V141" s="436"/>
      <c r="W141" s="436"/>
    </row>
    <row r="142" spans="13:23" x14ac:dyDescent="0.2">
      <c r="M142" s="436"/>
      <c r="N142" s="436"/>
      <c r="O142" s="436"/>
      <c r="P142" s="436"/>
      <c r="Q142" s="436"/>
      <c r="R142" s="436"/>
      <c r="S142" s="436"/>
      <c r="T142" s="436"/>
      <c r="U142" s="436"/>
      <c r="V142" s="436"/>
      <c r="W142" s="436"/>
    </row>
    <row r="143" spans="13:23" x14ac:dyDescent="0.2">
      <c r="M143" s="436"/>
      <c r="N143" s="436"/>
      <c r="O143" s="436"/>
      <c r="P143" s="436"/>
      <c r="Q143" s="436"/>
      <c r="R143" s="436"/>
      <c r="S143" s="436"/>
      <c r="T143" s="436"/>
      <c r="U143" s="436"/>
      <c r="V143" s="436"/>
      <c r="W143" s="436"/>
    </row>
    <row r="144" spans="13:23" x14ac:dyDescent="0.2">
      <c r="M144" s="436"/>
      <c r="N144" s="436"/>
      <c r="O144" s="436"/>
      <c r="P144" s="436"/>
      <c r="Q144" s="436"/>
      <c r="R144" s="436"/>
      <c r="S144" s="436"/>
      <c r="T144" s="436"/>
      <c r="U144" s="436"/>
      <c r="V144" s="436"/>
      <c r="W144" s="436"/>
    </row>
    <row r="145" spans="13:23" x14ac:dyDescent="0.2">
      <c r="M145" s="436"/>
      <c r="N145" s="436"/>
      <c r="O145" s="436"/>
      <c r="P145" s="436"/>
      <c r="Q145" s="436"/>
      <c r="R145" s="436"/>
      <c r="S145" s="436"/>
      <c r="T145" s="436"/>
      <c r="U145" s="436"/>
      <c r="V145" s="436"/>
      <c r="W145" s="436"/>
    </row>
    <row r="146" spans="13:23" x14ac:dyDescent="0.2">
      <c r="M146" s="436"/>
      <c r="N146" s="436"/>
      <c r="O146" s="436"/>
      <c r="P146" s="436"/>
      <c r="Q146" s="436"/>
      <c r="R146" s="436"/>
      <c r="S146" s="436"/>
      <c r="T146" s="436"/>
      <c r="U146" s="436"/>
      <c r="V146" s="436"/>
      <c r="W146" s="436"/>
    </row>
    <row r="147" spans="13:23" x14ac:dyDescent="0.2">
      <c r="M147" s="436"/>
      <c r="N147" s="436"/>
      <c r="O147" s="436"/>
      <c r="P147" s="436"/>
      <c r="Q147" s="436"/>
      <c r="R147" s="436"/>
      <c r="S147" s="436"/>
      <c r="T147" s="436"/>
      <c r="U147" s="436"/>
      <c r="V147" s="436"/>
      <c r="W147" s="436"/>
    </row>
    <row r="148" spans="13:23" x14ac:dyDescent="0.2">
      <c r="M148" s="436"/>
      <c r="N148" s="436"/>
      <c r="O148" s="436"/>
      <c r="P148" s="436"/>
      <c r="Q148" s="436"/>
      <c r="R148" s="436"/>
      <c r="S148" s="436"/>
      <c r="T148" s="436"/>
      <c r="U148" s="436"/>
      <c r="V148" s="436"/>
      <c r="W148" s="436"/>
    </row>
    <row r="149" spans="13:23" x14ac:dyDescent="0.2">
      <c r="M149" s="436"/>
      <c r="N149" s="436"/>
      <c r="O149" s="436"/>
      <c r="P149" s="436"/>
      <c r="Q149" s="436"/>
      <c r="R149" s="436"/>
      <c r="S149" s="436"/>
      <c r="T149" s="436"/>
      <c r="U149" s="436"/>
      <c r="V149" s="436"/>
      <c r="W149" s="436"/>
    </row>
    <row r="150" spans="13:23" x14ac:dyDescent="0.2">
      <c r="M150" s="436"/>
      <c r="N150" s="436"/>
      <c r="O150" s="436"/>
      <c r="P150" s="436"/>
      <c r="Q150" s="436"/>
      <c r="R150" s="436"/>
      <c r="S150" s="436"/>
      <c r="T150" s="436"/>
      <c r="U150" s="436"/>
      <c r="V150" s="436"/>
      <c r="W150" s="436"/>
    </row>
    <row r="151" spans="13:23" x14ac:dyDescent="0.2">
      <c r="M151" s="436"/>
      <c r="N151" s="436"/>
      <c r="O151" s="436"/>
      <c r="P151" s="436"/>
      <c r="Q151" s="436"/>
      <c r="R151" s="436"/>
      <c r="S151" s="436"/>
      <c r="T151" s="436"/>
      <c r="U151" s="436"/>
      <c r="V151" s="436"/>
      <c r="W151" s="436"/>
    </row>
    <row r="152" spans="13:23" x14ac:dyDescent="0.2">
      <c r="M152" s="436"/>
      <c r="N152" s="436"/>
      <c r="O152" s="436"/>
      <c r="P152" s="436"/>
      <c r="Q152" s="436"/>
      <c r="R152" s="436"/>
      <c r="S152" s="436"/>
      <c r="T152" s="436"/>
      <c r="U152" s="436"/>
      <c r="V152" s="436"/>
      <c r="W152" s="436"/>
    </row>
    <row r="153" spans="13:23" x14ac:dyDescent="0.2">
      <c r="M153" s="436"/>
      <c r="N153" s="436"/>
      <c r="O153" s="436"/>
      <c r="P153" s="436"/>
      <c r="Q153" s="436"/>
      <c r="R153" s="436"/>
      <c r="S153" s="436"/>
      <c r="T153" s="436"/>
      <c r="U153" s="436"/>
      <c r="V153" s="436"/>
      <c r="W153" s="436"/>
    </row>
    <row r="154" spans="13:23" x14ac:dyDescent="0.2">
      <c r="M154" s="436"/>
      <c r="N154" s="436"/>
      <c r="O154" s="436"/>
      <c r="P154" s="436"/>
      <c r="Q154" s="436"/>
      <c r="R154" s="436"/>
      <c r="S154" s="436"/>
      <c r="T154" s="436"/>
      <c r="U154" s="436"/>
      <c r="V154" s="436"/>
      <c r="W154" s="436"/>
    </row>
    <row r="155" spans="13:23" x14ac:dyDescent="0.2">
      <c r="M155" s="436"/>
      <c r="N155" s="436"/>
      <c r="O155" s="436"/>
      <c r="P155" s="436"/>
      <c r="Q155" s="436"/>
      <c r="R155" s="436"/>
      <c r="S155" s="436"/>
      <c r="T155" s="436"/>
      <c r="U155" s="436"/>
      <c r="V155" s="436"/>
      <c r="W155" s="436"/>
    </row>
    <row r="156" spans="13:23" x14ac:dyDescent="0.2">
      <c r="M156" s="436"/>
      <c r="N156" s="436"/>
      <c r="O156" s="436"/>
      <c r="P156" s="436"/>
      <c r="Q156" s="436"/>
      <c r="R156" s="436"/>
      <c r="S156" s="436"/>
      <c r="T156" s="436"/>
      <c r="U156" s="436"/>
      <c r="V156" s="436"/>
      <c r="W156" s="436"/>
    </row>
    <row r="157" spans="13:23" x14ac:dyDescent="0.2">
      <c r="M157" s="436"/>
      <c r="N157" s="436"/>
      <c r="O157" s="436"/>
      <c r="P157" s="436"/>
      <c r="Q157" s="436"/>
      <c r="R157" s="436"/>
      <c r="S157" s="436"/>
      <c r="T157" s="436"/>
      <c r="U157" s="436"/>
      <c r="V157" s="436"/>
      <c r="W157" s="436"/>
    </row>
    <row r="158" spans="13:23" x14ac:dyDescent="0.2">
      <c r="M158" s="436"/>
      <c r="N158" s="436"/>
      <c r="O158" s="436"/>
      <c r="P158" s="436"/>
      <c r="Q158" s="436"/>
      <c r="R158" s="436"/>
      <c r="S158" s="436"/>
      <c r="T158" s="436"/>
      <c r="U158" s="436"/>
      <c r="V158" s="436"/>
      <c r="W158" s="436"/>
    </row>
    <row r="159" spans="13:23" x14ac:dyDescent="0.2">
      <c r="M159" s="436"/>
      <c r="N159" s="436"/>
      <c r="O159" s="436"/>
      <c r="P159" s="436"/>
      <c r="Q159" s="436"/>
      <c r="R159" s="436"/>
      <c r="S159" s="436"/>
      <c r="T159" s="436"/>
      <c r="U159" s="436"/>
      <c r="V159" s="436"/>
      <c r="W159" s="436"/>
    </row>
    <row r="160" spans="13:23" x14ac:dyDescent="0.2">
      <c r="M160" s="436"/>
      <c r="N160" s="436"/>
      <c r="O160" s="436"/>
      <c r="P160" s="436"/>
      <c r="Q160" s="436"/>
      <c r="R160" s="436"/>
      <c r="S160" s="436"/>
      <c r="T160" s="436"/>
      <c r="U160" s="436"/>
      <c r="V160" s="436"/>
      <c r="W160" s="436"/>
    </row>
    <row r="161" spans="13:23" x14ac:dyDescent="0.2">
      <c r="M161" s="436"/>
      <c r="N161" s="436"/>
      <c r="O161" s="436"/>
      <c r="P161" s="436"/>
      <c r="Q161" s="436"/>
      <c r="R161" s="436"/>
      <c r="S161" s="436"/>
      <c r="T161" s="436"/>
      <c r="U161" s="436"/>
      <c r="V161" s="436"/>
      <c r="W161" s="436"/>
    </row>
    <row r="162" spans="13:23" x14ac:dyDescent="0.2">
      <c r="M162" s="436"/>
      <c r="N162" s="436"/>
      <c r="O162" s="436"/>
      <c r="P162" s="436"/>
      <c r="Q162" s="436"/>
      <c r="R162" s="436"/>
      <c r="S162" s="436"/>
      <c r="T162" s="436"/>
      <c r="U162" s="436"/>
      <c r="V162" s="436"/>
      <c r="W162" s="436"/>
    </row>
    <row r="163" spans="13:23" x14ac:dyDescent="0.2">
      <c r="M163" s="436"/>
      <c r="N163" s="436"/>
      <c r="O163" s="436"/>
      <c r="P163" s="436"/>
      <c r="Q163" s="436"/>
      <c r="R163" s="436"/>
      <c r="S163" s="436"/>
      <c r="T163" s="436"/>
      <c r="U163" s="436"/>
      <c r="V163" s="436"/>
      <c r="W163" s="436"/>
    </row>
    <row r="164" spans="13:23" x14ac:dyDescent="0.2">
      <c r="M164" s="436"/>
      <c r="N164" s="436"/>
      <c r="O164" s="436"/>
      <c r="P164" s="436"/>
      <c r="Q164" s="436"/>
      <c r="R164" s="436"/>
      <c r="S164" s="436"/>
      <c r="T164" s="436"/>
      <c r="U164" s="436"/>
      <c r="V164" s="436"/>
      <c r="W164" s="436"/>
    </row>
    <row r="165" spans="13:23" x14ac:dyDescent="0.2">
      <c r="M165" s="436"/>
      <c r="N165" s="436"/>
      <c r="O165" s="436"/>
      <c r="P165" s="436"/>
      <c r="Q165" s="436"/>
      <c r="R165" s="436"/>
      <c r="S165" s="436"/>
      <c r="T165" s="436"/>
      <c r="U165" s="436"/>
      <c r="V165" s="436"/>
      <c r="W165" s="436"/>
    </row>
    <row r="166" spans="13:23" x14ac:dyDescent="0.2">
      <c r="M166" s="436"/>
      <c r="N166" s="436"/>
      <c r="O166" s="436"/>
      <c r="P166" s="436"/>
      <c r="Q166" s="436"/>
      <c r="R166" s="436"/>
      <c r="S166" s="436"/>
      <c r="T166" s="436"/>
      <c r="U166" s="436"/>
      <c r="V166" s="436"/>
      <c r="W166" s="436"/>
    </row>
    <row r="167" spans="13:23" x14ac:dyDescent="0.2">
      <c r="M167" s="436"/>
      <c r="N167" s="436"/>
      <c r="O167" s="436"/>
      <c r="P167" s="436"/>
      <c r="Q167" s="436"/>
      <c r="R167" s="436"/>
      <c r="S167" s="436"/>
      <c r="T167" s="436"/>
      <c r="U167" s="436"/>
      <c r="V167" s="436"/>
      <c r="W167" s="436"/>
    </row>
    <row r="168" spans="13:23" x14ac:dyDescent="0.2">
      <c r="M168" s="436"/>
      <c r="N168" s="436"/>
      <c r="O168" s="436"/>
      <c r="P168" s="436"/>
      <c r="Q168" s="436"/>
      <c r="R168" s="436"/>
      <c r="S168" s="436"/>
      <c r="T168" s="436"/>
      <c r="U168" s="436"/>
      <c r="V168" s="436"/>
      <c r="W168" s="436"/>
    </row>
    <row r="169" spans="13:23" x14ac:dyDescent="0.2">
      <c r="M169" s="436"/>
      <c r="N169" s="436"/>
      <c r="O169" s="436"/>
      <c r="P169" s="436"/>
      <c r="Q169" s="436"/>
      <c r="R169" s="436"/>
      <c r="S169" s="436"/>
      <c r="T169" s="436"/>
      <c r="U169" s="436"/>
      <c r="V169" s="436"/>
      <c r="W169" s="436"/>
    </row>
    <row r="170" spans="13:23" x14ac:dyDescent="0.2">
      <c r="M170" s="436"/>
      <c r="N170" s="436"/>
      <c r="O170" s="436"/>
      <c r="P170" s="436"/>
      <c r="Q170" s="436"/>
      <c r="R170" s="436"/>
      <c r="S170" s="436"/>
      <c r="T170" s="436"/>
      <c r="U170" s="436"/>
      <c r="V170" s="436"/>
      <c r="W170" s="436"/>
    </row>
    <row r="171" spans="13:23" x14ac:dyDescent="0.2">
      <c r="M171" s="436"/>
      <c r="N171" s="436"/>
      <c r="O171" s="436"/>
      <c r="P171" s="436"/>
      <c r="Q171" s="436"/>
      <c r="R171" s="436"/>
      <c r="S171" s="436"/>
      <c r="T171" s="436"/>
      <c r="U171" s="436"/>
      <c r="V171" s="436"/>
      <c r="W171" s="436"/>
    </row>
    <row r="172" spans="13:23" x14ac:dyDescent="0.2">
      <c r="M172" s="436"/>
      <c r="N172" s="436"/>
      <c r="O172" s="436"/>
      <c r="P172" s="436"/>
      <c r="Q172" s="436"/>
      <c r="R172" s="436"/>
      <c r="S172" s="436"/>
      <c r="T172" s="436"/>
      <c r="U172" s="436"/>
      <c r="V172" s="436"/>
      <c r="W172" s="436"/>
    </row>
    <row r="173" spans="13:23" x14ac:dyDescent="0.2">
      <c r="M173" s="436"/>
      <c r="N173" s="436"/>
      <c r="O173" s="436"/>
      <c r="P173" s="436"/>
      <c r="Q173" s="436"/>
      <c r="R173" s="436"/>
      <c r="S173" s="436"/>
      <c r="T173" s="436"/>
      <c r="U173" s="436"/>
      <c r="V173" s="436"/>
      <c r="W173" s="436"/>
    </row>
    <row r="174" spans="13:23" x14ac:dyDescent="0.2">
      <c r="M174" s="436"/>
      <c r="N174" s="436"/>
      <c r="O174" s="436"/>
      <c r="P174" s="436"/>
      <c r="Q174" s="436"/>
      <c r="R174" s="436"/>
      <c r="S174" s="436"/>
      <c r="T174" s="436"/>
      <c r="U174" s="436"/>
      <c r="V174" s="436"/>
      <c r="W174" s="436"/>
    </row>
    <row r="175" spans="13:23" x14ac:dyDescent="0.2">
      <c r="M175" s="436"/>
      <c r="N175" s="436"/>
      <c r="O175" s="436"/>
      <c r="P175" s="436"/>
      <c r="Q175" s="436"/>
      <c r="R175" s="436"/>
      <c r="S175" s="436"/>
      <c r="T175" s="436"/>
      <c r="U175" s="436"/>
      <c r="V175" s="436"/>
      <c r="W175" s="436"/>
    </row>
    <row r="176" spans="13:23" x14ac:dyDescent="0.2">
      <c r="M176" s="436"/>
      <c r="N176" s="436"/>
      <c r="O176" s="436"/>
      <c r="P176" s="436"/>
      <c r="Q176" s="436"/>
      <c r="R176" s="436"/>
      <c r="S176" s="436"/>
      <c r="T176" s="436"/>
      <c r="U176" s="436"/>
      <c r="V176" s="436"/>
      <c r="W176" s="436"/>
    </row>
    <row r="177" spans="13:23" x14ac:dyDescent="0.2">
      <c r="M177" s="436"/>
      <c r="N177" s="436"/>
      <c r="O177" s="436"/>
      <c r="P177" s="436"/>
      <c r="Q177" s="436"/>
      <c r="R177" s="436"/>
      <c r="S177" s="436"/>
      <c r="T177" s="436"/>
      <c r="U177" s="436"/>
      <c r="V177" s="436"/>
      <c r="W177" s="436"/>
    </row>
    <row r="178" spans="13:23" x14ac:dyDescent="0.2">
      <c r="M178" s="436"/>
      <c r="N178" s="436"/>
      <c r="O178" s="436"/>
      <c r="P178" s="436"/>
      <c r="Q178" s="436"/>
      <c r="R178" s="436"/>
      <c r="S178" s="436"/>
      <c r="T178" s="436"/>
      <c r="U178" s="436"/>
      <c r="V178" s="436"/>
      <c r="W178" s="436"/>
    </row>
    <row r="179" spans="13:23" x14ac:dyDescent="0.2">
      <c r="M179" s="436"/>
      <c r="N179" s="436"/>
      <c r="O179" s="436"/>
      <c r="P179" s="436"/>
      <c r="Q179" s="436"/>
      <c r="R179" s="436"/>
      <c r="S179" s="436"/>
      <c r="T179" s="436"/>
      <c r="U179" s="436"/>
      <c r="V179" s="436"/>
      <c r="W179" s="436"/>
    </row>
    <row r="180" spans="13:23" x14ac:dyDescent="0.2">
      <c r="M180" s="436"/>
      <c r="N180" s="436"/>
      <c r="O180" s="436"/>
      <c r="P180" s="436"/>
      <c r="Q180" s="436"/>
      <c r="R180" s="436"/>
      <c r="S180" s="436"/>
      <c r="T180" s="436"/>
      <c r="U180" s="436"/>
      <c r="V180" s="436"/>
      <c r="W180" s="436"/>
    </row>
    <row r="181" spans="13:23" x14ac:dyDescent="0.2">
      <c r="M181" s="436"/>
      <c r="N181" s="436"/>
      <c r="O181" s="436"/>
      <c r="P181" s="436"/>
      <c r="Q181" s="436"/>
      <c r="R181" s="436"/>
      <c r="S181" s="436"/>
      <c r="T181" s="436"/>
      <c r="U181" s="436"/>
      <c r="V181" s="436"/>
      <c r="W181" s="436"/>
    </row>
    <row r="182" spans="13:23" x14ac:dyDescent="0.2">
      <c r="M182" s="436"/>
      <c r="N182" s="436"/>
      <c r="O182" s="436"/>
      <c r="P182" s="436"/>
      <c r="Q182" s="436"/>
      <c r="R182" s="436"/>
      <c r="S182" s="436"/>
      <c r="T182" s="436"/>
      <c r="U182" s="436"/>
      <c r="V182" s="436"/>
      <c r="W182" s="436"/>
    </row>
    <row r="183" spans="13:23" x14ac:dyDescent="0.2">
      <c r="M183" s="436"/>
      <c r="N183" s="436"/>
      <c r="O183" s="436"/>
      <c r="P183" s="436"/>
      <c r="Q183" s="436"/>
      <c r="R183" s="436"/>
      <c r="S183" s="436"/>
      <c r="T183" s="436"/>
      <c r="U183" s="436"/>
      <c r="V183" s="436"/>
      <c r="W183" s="436"/>
    </row>
    <row r="184" spans="13:23" x14ac:dyDescent="0.2">
      <c r="M184" s="436"/>
      <c r="N184" s="436"/>
      <c r="O184" s="436"/>
      <c r="P184" s="436"/>
      <c r="Q184" s="436"/>
      <c r="R184" s="436"/>
      <c r="S184" s="436"/>
      <c r="T184" s="436"/>
      <c r="U184" s="436"/>
      <c r="V184" s="436"/>
      <c r="W184" s="436"/>
    </row>
    <row r="185" spans="13:23" x14ac:dyDescent="0.2">
      <c r="M185" s="436"/>
      <c r="N185" s="436"/>
      <c r="O185" s="436"/>
      <c r="P185" s="436"/>
      <c r="Q185" s="436"/>
      <c r="R185" s="436"/>
      <c r="S185" s="436"/>
      <c r="T185" s="436"/>
      <c r="U185" s="436"/>
      <c r="V185" s="436"/>
      <c r="W185" s="436"/>
    </row>
    <row r="186" spans="13:23" x14ac:dyDescent="0.2">
      <c r="M186" s="436"/>
      <c r="N186" s="436"/>
      <c r="O186" s="436"/>
      <c r="P186" s="436"/>
      <c r="Q186" s="436"/>
      <c r="R186" s="436"/>
      <c r="S186" s="436"/>
      <c r="T186" s="436"/>
      <c r="U186" s="436"/>
      <c r="V186" s="436"/>
      <c r="W186" s="436"/>
    </row>
    <row r="187" spans="13:23" x14ac:dyDescent="0.2">
      <c r="M187" s="436"/>
      <c r="N187" s="436"/>
      <c r="O187" s="436"/>
      <c r="P187" s="436"/>
      <c r="Q187" s="436"/>
      <c r="R187" s="436"/>
      <c r="S187" s="436"/>
      <c r="T187" s="436"/>
      <c r="U187" s="436"/>
      <c r="V187" s="436"/>
      <c r="W187" s="436"/>
    </row>
  </sheetData>
  <mergeCells count="30">
    <mergeCell ref="A2:A3"/>
    <mergeCell ref="B7:B31"/>
    <mergeCell ref="B33:B46"/>
    <mergeCell ref="B47:B52"/>
    <mergeCell ref="B60:B64"/>
    <mergeCell ref="AQ1:AT1"/>
    <mergeCell ref="AQ2:AQ3"/>
    <mergeCell ref="AT2:AT3"/>
    <mergeCell ref="X2:Z2"/>
    <mergeCell ref="AA2:AC2"/>
    <mergeCell ref="AD2:AF2"/>
    <mergeCell ref="AR2:AS2"/>
    <mergeCell ref="AG2:AI2"/>
    <mergeCell ref="AN2:AO2"/>
    <mergeCell ref="B65:B66"/>
    <mergeCell ref="A1:AP1"/>
    <mergeCell ref="AJ2:AM2"/>
    <mergeCell ref="I2:J2"/>
    <mergeCell ref="M2:N2"/>
    <mergeCell ref="O2:Q2"/>
    <mergeCell ref="R2:S2"/>
    <mergeCell ref="B53:B59"/>
    <mergeCell ref="L2:L3"/>
    <mergeCell ref="B2:B3"/>
    <mergeCell ref="C2:C3"/>
    <mergeCell ref="AP2:AP3"/>
    <mergeCell ref="E2:F2"/>
    <mergeCell ref="G2:H2"/>
    <mergeCell ref="T2:W2"/>
    <mergeCell ref="K2:K3"/>
  </mergeCells>
  <pageMargins left="0.7" right="0.7" top="0.75" bottom="0.75" header="0.3" footer="0.3"/>
  <pageSetup paperSize="9" orientation="portrait" horizontalDpi="4294967293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82C9C-0110-4971-B267-B351A1524F95}">
  <dimension ref="A1:Q7"/>
  <sheetViews>
    <sheetView workbookViewId="0">
      <selection activeCell="L3" sqref="L3"/>
    </sheetView>
  </sheetViews>
  <sheetFormatPr defaultRowHeight="15" x14ac:dyDescent="0.25"/>
  <cols>
    <col min="2" max="2" width="14.42578125" bestFit="1" customWidth="1"/>
    <col min="4" max="4" width="10" bestFit="1" customWidth="1"/>
    <col min="5" max="7" width="10" customWidth="1"/>
    <col min="8" max="8" width="9.7109375" bestFit="1" customWidth="1"/>
    <col min="16" max="16" width="11.5703125" style="16" bestFit="1" customWidth="1"/>
    <col min="17" max="17" width="13.28515625" style="16" bestFit="1" customWidth="1"/>
  </cols>
  <sheetData>
    <row r="1" spans="1:17" ht="30" x14ac:dyDescent="0.25">
      <c r="A1" s="268" t="s">
        <v>407</v>
      </c>
      <c r="B1" s="268" t="s">
        <v>450</v>
      </c>
      <c r="C1" s="268" t="s">
        <v>451</v>
      </c>
      <c r="D1" s="268" t="s">
        <v>452</v>
      </c>
      <c r="E1" s="268" t="s">
        <v>458</v>
      </c>
      <c r="F1" s="268" t="s">
        <v>460</v>
      </c>
      <c r="G1" s="269" t="s">
        <v>459</v>
      </c>
      <c r="H1" s="268" t="s">
        <v>457</v>
      </c>
      <c r="K1" t="s">
        <v>314</v>
      </c>
      <c r="L1">
        <v>1</v>
      </c>
    </row>
    <row r="2" spans="1:17" x14ac:dyDescent="0.25">
      <c r="A2">
        <v>7.03</v>
      </c>
      <c r="B2">
        <v>21</v>
      </c>
      <c r="C2">
        <v>21</v>
      </c>
      <c r="H2">
        <f>+B2-C2-D2-E2-G2</f>
        <v>0</v>
      </c>
      <c r="K2" t="s">
        <v>453</v>
      </c>
      <c r="L2" s="277">
        <f>1+1</f>
        <v>2</v>
      </c>
      <c r="N2" t="s">
        <v>472</v>
      </c>
      <c r="O2">
        <v>15</v>
      </c>
      <c r="P2" s="16">
        <v>250000</v>
      </c>
      <c r="Q2" s="16">
        <f>+O2*P2</f>
        <v>3750000</v>
      </c>
    </row>
    <row r="3" spans="1:17" x14ac:dyDescent="0.25">
      <c r="A3">
        <v>7.05</v>
      </c>
      <c r="B3">
        <f>154+1</f>
        <v>155</v>
      </c>
      <c r="C3">
        <f>2+10</f>
        <v>12</v>
      </c>
      <c r="D3">
        <f>+L7</f>
        <v>7</v>
      </c>
      <c r="E3">
        <f>3+1</f>
        <v>4</v>
      </c>
      <c r="F3">
        <f>15+3</f>
        <v>18</v>
      </c>
      <c r="G3">
        <v>89</v>
      </c>
      <c r="H3">
        <f>+B3-C3-D3-E3-G3+H2-F3</f>
        <v>25</v>
      </c>
      <c r="K3" t="s">
        <v>316</v>
      </c>
      <c r="L3" s="277">
        <v>1</v>
      </c>
      <c r="N3" t="s">
        <v>454</v>
      </c>
      <c r="O3">
        <v>3</v>
      </c>
      <c r="P3" s="16">
        <v>250000</v>
      </c>
      <c r="Q3" s="16">
        <f>+O3*P3</f>
        <v>750000</v>
      </c>
    </row>
    <row r="4" spans="1:17" x14ac:dyDescent="0.25">
      <c r="A4">
        <v>7.15</v>
      </c>
      <c r="B4">
        <v>7</v>
      </c>
      <c r="C4">
        <v>32</v>
      </c>
      <c r="H4">
        <f>+B4-C4-D4-E4-G4+H3-F4</f>
        <v>0</v>
      </c>
      <c r="K4" t="s">
        <v>455</v>
      </c>
      <c r="L4" s="277">
        <v>1</v>
      </c>
    </row>
    <row r="5" spans="1:17" x14ac:dyDescent="0.25">
      <c r="K5" t="s">
        <v>456</v>
      </c>
      <c r="L5" s="277">
        <v>1</v>
      </c>
    </row>
    <row r="6" spans="1:17" x14ac:dyDescent="0.25">
      <c r="K6" t="s">
        <v>315</v>
      </c>
      <c r="L6" s="277">
        <v>1</v>
      </c>
    </row>
    <row r="7" spans="1:17" x14ac:dyDescent="0.25">
      <c r="L7">
        <f>SUM(L1:L6)</f>
        <v>7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D0F64-D8B0-4750-928F-F8691EEE6F1D}">
  <dimension ref="A1:CK18"/>
  <sheetViews>
    <sheetView topLeftCell="AQ1" workbookViewId="0">
      <selection activeCell="AO12" sqref="AO12"/>
    </sheetView>
  </sheetViews>
  <sheetFormatPr defaultRowHeight="15" x14ac:dyDescent="0.25"/>
  <cols>
    <col min="1" max="1" width="11" customWidth="1"/>
    <col min="2" max="2" width="7.85546875" bestFit="1" customWidth="1"/>
    <col min="3" max="3" width="4" bestFit="1" customWidth="1"/>
    <col min="4" max="5" width="10.5703125" style="30" bestFit="1" customWidth="1"/>
    <col min="7" max="7" width="4" bestFit="1" customWidth="1"/>
    <col min="8" max="9" width="10.5703125" style="30" bestFit="1" customWidth="1"/>
    <col min="12" max="12" width="10.5703125" bestFit="1" customWidth="1"/>
    <col min="15" max="15" width="11.5703125" bestFit="1" customWidth="1"/>
    <col min="16" max="16" width="10.5703125" bestFit="1" customWidth="1"/>
    <col min="20" max="20" width="10.5703125" bestFit="1" customWidth="1"/>
    <col min="23" max="23" width="10.5703125" bestFit="1" customWidth="1"/>
    <col min="26" max="26" width="9.140625" bestFit="1" customWidth="1"/>
    <col min="27" max="27" width="11.5703125" style="16" bestFit="1" customWidth="1"/>
    <col min="37" max="37" width="10.5703125" style="30" bestFit="1" customWidth="1"/>
    <col min="38" max="38" width="13.28515625" style="30" bestFit="1" customWidth="1"/>
    <col min="41" max="42" width="10.5703125" bestFit="1" customWidth="1"/>
    <col min="45" max="45" width="10.5703125" bestFit="1" customWidth="1"/>
    <col min="47" max="47" width="4" bestFit="1" customWidth="1"/>
    <col min="48" max="48" width="10.5703125" style="30" bestFit="1" customWidth="1"/>
    <col min="49" max="49" width="13.28515625" style="30" bestFit="1" customWidth="1"/>
    <col min="51" max="51" width="0" hidden="1" customWidth="1"/>
    <col min="55" max="55" width="0" hidden="1" customWidth="1"/>
    <col min="56" max="56" width="10.5703125" bestFit="1" customWidth="1"/>
    <col min="57" max="57" width="0" hidden="1" customWidth="1"/>
    <col min="58" max="58" width="6" bestFit="1" customWidth="1"/>
    <col min="59" max="60" width="10.5703125" style="30" bestFit="1" customWidth="1"/>
    <col min="61" max="61" width="0" hidden="1" customWidth="1"/>
    <col min="62" max="62" width="2.85546875" bestFit="1" customWidth="1"/>
    <col min="65" max="65" width="0" hidden="1" customWidth="1"/>
    <col min="66" max="66" width="4" bestFit="1" customWidth="1"/>
    <col min="67" max="67" width="10.5703125" bestFit="1" customWidth="1"/>
    <col min="68" max="68" width="0" hidden="1" customWidth="1"/>
    <col min="69" max="69" width="2.85546875" bestFit="1" customWidth="1"/>
    <col min="70" max="71" width="10.5703125" style="30" bestFit="1" customWidth="1"/>
    <col min="72" max="72" width="0" hidden="1" customWidth="1"/>
    <col min="73" max="73" width="2.85546875" bestFit="1" customWidth="1"/>
    <col min="76" max="76" width="0" hidden="1" customWidth="1"/>
    <col min="77" max="77" width="3.28515625" bestFit="1" customWidth="1"/>
    <col min="78" max="78" width="10.5703125" bestFit="1" customWidth="1"/>
    <col min="80" max="80" width="0" hidden="1" customWidth="1"/>
    <col min="81" max="82" width="10.5703125" style="30" bestFit="1" customWidth="1"/>
    <col min="84" max="84" width="0" hidden="1" customWidth="1"/>
    <col min="85" max="86" width="10.5703125" bestFit="1" customWidth="1"/>
    <col min="88" max="88" width="0" hidden="1" customWidth="1"/>
    <col min="89" max="89" width="10.5703125" bestFit="1" customWidth="1"/>
  </cols>
  <sheetData>
    <row r="1" spans="1:89" x14ac:dyDescent="0.25">
      <c r="A1" s="493" t="s">
        <v>473</v>
      </c>
      <c r="B1" s="490" t="s">
        <v>476</v>
      </c>
      <c r="C1" s="491"/>
      <c r="D1" s="491"/>
      <c r="E1" s="491"/>
      <c r="F1" s="491"/>
      <c r="G1" s="491"/>
      <c r="H1" s="491"/>
      <c r="I1" s="491"/>
      <c r="J1" s="491"/>
      <c r="K1" s="491"/>
      <c r="L1" s="492"/>
      <c r="M1" s="490" t="s">
        <v>477</v>
      </c>
      <c r="N1" s="491"/>
      <c r="O1" s="491"/>
      <c r="P1" s="491"/>
      <c r="Q1" s="491"/>
      <c r="R1" s="491"/>
      <c r="S1" s="491"/>
      <c r="T1" s="491"/>
      <c r="U1" s="491"/>
      <c r="V1" s="491"/>
      <c r="W1" s="492"/>
      <c r="X1" s="490" t="s">
        <v>479</v>
      </c>
      <c r="Y1" s="491"/>
      <c r="Z1" s="491"/>
      <c r="AA1" s="491"/>
      <c r="AB1" s="491"/>
      <c r="AC1" s="491"/>
      <c r="AD1" s="491"/>
      <c r="AE1" s="491"/>
      <c r="AF1" s="491"/>
      <c r="AG1" s="491"/>
      <c r="AH1" s="492"/>
      <c r="AI1" s="490" t="s">
        <v>485</v>
      </c>
      <c r="AJ1" s="491"/>
      <c r="AK1" s="491"/>
      <c r="AL1" s="491"/>
      <c r="AM1" s="491"/>
      <c r="AN1" s="491"/>
      <c r="AO1" s="491"/>
      <c r="AP1" s="491"/>
      <c r="AQ1" s="491"/>
      <c r="AR1" s="491"/>
      <c r="AS1" s="492"/>
      <c r="AT1" s="490" t="s">
        <v>527</v>
      </c>
      <c r="AU1" s="491"/>
      <c r="AV1" s="491"/>
      <c r="AW1" s="491"/>
      <c r="AX1" s="491"/>
      <c r="AY1" s="491"/>
      <c r="AZ1" s="491"/>
      <c r="BA1" s="491"/>
      <c r="BB1" s="491"/>
      <c r="BC1" s="491"/>
      <c r="BD1" s="492"/>
      <c r="BE1" s="490" t="s">
        <v>530</v>
      </c>
      <c r="BF1" s="491"/>
      <c r="BG1" s="491"/>
      <c r="BH1" s="491"/>
      <c r="BI1" s="491"/>
      <c r="BJ1" s="491"/>
      <c r="BK1" s="491"/>
      <c r="BL1" s="491"/>
      <c r="BM1" s="491"/>
      <c r="BN1" s="491"/>
      <c r="BO1" s="492"/>
      <c r="BP1" s="490" t="s">
        <v>525</v>
      </c>
      <c r="BQ1" s="491"/>
      <c r="BR1" s="491"/>
      <c r="BS1" s="491"/>
      <c r="BT1" s="491"/>
      <c r="BU1" s="491"/>
      <c r="BV1" s="491"/>
      <c r="BW1" s="491"/>
      <c r="BX1" s="491"/>
      <c r="BY1" s="491"/>
      <c r="BZ1" s="492"/>
      <c r="CA1" s="490" t="s">
        <v>531</v>
      </c>
      <c r="CB1" s="491"/>
      <c r="CC1" s="491"/>
      <c r="CD1" s="491"/>
      <c r="CE1" s="491"/>
      <c r="CF1" s="491"/>
      <c r="CG1" s="491"/>
      <c r="CH1" s="491"/>
      <c r="CI1" s="491"/>
      <c r="CJ1" s="491"/>
      <c r="CK1" s="492"/>
    </row>
    <row r="2" spans="1:89" x14ac:dyDescent="0.25">
      <c r="A2" s="493"/>
      <c r="B2" s="490" t="s">
        <v>474</v>
      </c>
      <c r="C2" s="491"/>
      <c r="D2" s="491"/>
      <c r="E2" s="492"/>
      <c r="F2" s="490" t="s">
        <v>475</v>
      </c>
      <c r="G2" s="491"/>
      <c r="H2" s="491"/>
      <c r="I2" s="492"/>
      <c r="J2" s="490" t="s">
        <v>478</v>
      </c>
      <c r="K2" s="491"/>
      <c r="L2" s="492"/>
      <c r="M2" s="490" t="s">
        <v>474</v>
      </c>
      <c r="N2" s="491"/>
      <c r="O2" s="491"/>
      <c r="P2" s="492"/>
      <c r="Q2" s="490" t="s">
        <v>475</v>
      </c>
      <c r="R2" s="491"/>
      <c r="S2" s="491"/>
      <c r="T2" s="492"/>
      <c r="U2" s="490" t="s">
        <v>478</v>
      </c>
      <c r="V2" s="491"/>
      <c r="W2" s="492"/>
      <c r="X2" s="490" t="s">
        <v>474</v>
      </c>
      <c r="Y2" s="491"/>
      <c r="Z2" s="491"/>
      <c r="AA2" s="492"/>
      <c r="AB2" s="490" t="s">
        <v>475</v>
      </c>
      <c r="AC2" s="491"/>
      <c r="AD2" s="491"/>
      <c r="AE2" s="492"/>
      <c r="AF2" s="490" t="s">
        <v>478</v>
      </c>
      <c r="AG2" s="491"/>
      <c r="AH2" s="492"/>
      <c r="AI2" s="490" t="s">
        <v>474</v>
      </c>
      <c r="AJ2" s="491"/>
      <c r="AK2" s="491"/>
      <c r="AL2" s="492"/>
      <c r="AM2" s="490" t="s">
        <v>475</v>
      </c>
      <c r="AN2" s="491"/>
      <c r="AO2" s="491"/>
      <c r="AP2" s="492"/>
      <c r="AQ2" s="490" t="s">
        <v>478</v>
      </c>
      <c r="AR2" s="491"/>
      <c r="AS2" s="492"/>
      <c r="AT2" s="490" t="s">
        <v>474</v>
      </c>
      <c r="AU2" s="491"/>
      <c r="AV2" s="491"/>
      <c r="AW2" s="492"/>
      <c r="AX2" s="490" t="s">
        <v>475</v>
      </c>
      <c r="AY2" s="491"/>
      <c r="AZ2" s="491"/>
      <c r="BA2" s="492"/>
      <c r="BB2" s="490" t="s">
        <v>478</v>
      </c>
      <c r="BC2" s="491"/>
      <c r="BD2" s="492"/>
      <c r="BE2" s="490" t="s">
        <v>474</v>
      </c>
      <c r="BF2" s="491"/>
      <c r="BG2" s="491"/>
      <c r="BH2" s="492"/>
      <c r="BI2" s="490" t="s">
        <v>475</v>
      </c>
      <c r="BJ2" s="491"/>
      <c r="BK2" s="491"/>
      <c r="BL2" s="492"/>
      <c r="BM2" s="490" t="s">
        <v>478</v>
      </c>
      <c r="BN2" s="491"/>
      <c r="BO2" s="492"/>
      <c r="BP2" s="490" t="s">
        <v>474</v>
      </c>
      <c r="BQ2" s="491"/>
      <c r="BR2" s="491"/>
      <c r="BS2" s="492"/>
      <c r="BT2" s="490" t="s">
        <v>475</v>
      </c>
      <c r="BU2" s="491"/>
      <c r="BV2" s="491"/>
      <c r="BW2" s="492"/>
      <c r="BX2" s="490" t="s">
        <v>478</v>
      </c>
      <c r="BY2" s="491"/>
      <c r="BZ2" s="492"/>
      <c r="CA2" s="490" t="s">
        <v>474</v>
      </c>
      <c r="CB2" s="491"/>
      <c r="CC2" s="491"/>
      <c r="CD2" s="492"/>
      <c r="CE2" s="490" t="s">
        <v>475</v>
      </c>
      <c r="CF2" s="491"/>
      <c r="CG2" s="491"/>
      <c r="CH2" s="492"/>
      <c r="CI2" s="490" t="s">
        <v>478</v>
      </c>
      <c r="CJ2" s="491"/>
      <c r="CK2" s="492"/>
    </row>
    <row r="3" spans="1:89" x14ac:dyDescent="0.25">
      <c r="A3" s="493"/>
      <c r="B3" s="268" t="s">
        <v>180</v>
      </c>
      <c r="C3" s="192" t="s">
        <v>436</v>
      </c>
      <c r="D3" s="276" t="s">
        <v>480</v>
      </c>
      <c r="E3" s="276" t="s">
        <v>481</v>
      </c>
      <c r="F3" s="268" t="s">
        <v>180</v>
      </c>
      <c r="G3" s="192" t="s">
        <v>436</v>
      </c>
      <c r="H3" s="276" t="s">
        <v>480</v>
      </c>
      <c r="I3" s="276" t="s">
        <v>481</v>
      </c>
      <c r="J3" s="192" t="s">
        <v>180</v>
      </c>
      <c r="K3" s="192" t="s">
        <v>482</v>
      </c>
      <c r="L3" s="192" t="s">
        <v>481</v>
      </c>
      <c r="M3" s="268" t="s">
        <v>180</v>
      </c>
      <c r="N3" s="192" t="s">
        <v>436</v>
      </c>
      <c r="O3" s="192" t="s">
        <v>480</v>
      </c>
      <c r="P3" s="192" t="s">
        <v>481</v>
      </c>
      <c r="Q3" s="268" t="s">
        <v>180</v>
      </c>
      <c r="R3" s="192" t="s">
        <v>436</v>
      </c>
      <c r="S3" s="192" t="s">
        <v>480</v>
      </c>
      <c r="T3" s="192" t="s">
        <v>481</v>
      </c>
      <c r="U3" s="192" t="s">
        <v>180</v>
      </c>
      <c r="V3" s="192" t="s">
        <v>482</v>
      </c>
      <c r="W3" s="192" t="s">
        <v>481</v>
      </c>
      <c r="X3" s="268" t="s">
        <v>180</v>
      </c>
      <c r="Y3" s="192" t="s">
        <v>436</v>
      </c>
      <c r="Z3" s="192" t="s">
        <v>480</v>
      </c>
      <c r="AA3" s="270" t="s">
        <v>481</v>
      </c>
      <c r="AB3" s="268" t="s">
        <v>180</v>
      </c>
      <c r="AC3" s="192" t="s">
        <v>436</v>
      </c>
      <c r="AD3" s="192" t="s">
        <v>480</v>
      </c>
      <c r="AE3" s="192" t="s">
        <v>481</v>
      </c>
      <c r="AF3" s="192" t="s">
        <v>180</v>
      </c>
      <c r="AG3" s="192" t="s">
        <v>482</v>
      </c>
      <c r="AH3" s="192" t="s">
        <v>481</v>
      </c>
      <c r="AI3" s="268" t="s">
        <v>180</v>
      </c>
      <c r="AJ3" s="192" t="s">
        <v>436</v>
      </c>
      <c r="AK3" s="276" t="s">
        <v>480</v>
      </c>
      <c r="AL3" s="276" t="s">
        <v>481</v>
      </c>
      <c r="AM3" s="268" t="s">
        <v>180</v>
      </c>
      <c r="AN3" s="192" t="s">
        <v>436</v>
      </c>
      <c r="AO3" s="192" t="s">
        <v>480</v>
      </c>
      <c r="AP3" s="192" t="s">
        <v>481</v>
      </c>
      <c r="AQ3" s="192" t="s">
        <v>180</v>
      </c>
      <c r="AR3" s="192" t="s">
        <v>482</v>
      </c>
      <c r="AS3" s="192" t="s">
        <v>481</v>
      </c>
      <c r="AT3" s="365" t="s">
        <v>180</v>
      </c>
      <c r="AU3" s="364" t="s">
        <v>436</v>
      </c>
      <c r="AV3" s="276" t="s">
        <v>480</v>
      </c>
      <c r="AW3" s="276" t="s">
        <v>481</v>
      </c>
      <c r="AX3" s="365" t="s">
        <v>180</v>
      </c>
      <c r="AY3" s="364" t="s">
        <v>436</v>
      </c>
      <c r="AZ3" s="364" t="s">
        <v>480</v>
      </c>
      <c r="BA3" s="364" t="s">
        <v>481</v>
      </c>
      <c r="BB3" s="364" t="s">
        <v>180</v>
      </c>
      <c r="BC3" s="364" t="s">
        <v>482</v>
      </c>
      <c r="BD3" s="364" t="s">
        <v>481</v>
      </c>
      <c r="BE3" s="369" t="s">
        <v>180</v>
      </c>
      <c r="BF3" s="368" t="s">
        <v>436</v>
      </c>
      <c r="BG3" s="276" t="s">
        <v>480</v>
      </c>
      <c r="BH3" s="276" t="s">
        <v>481</v>
      </c>
      <c r="BI3" s="369" t="s">
        <v>180</v>
      </c>
      <c r="BJ3" s="368" t="s">
        <v>436</v>
      </c>
      <c r="BK3" s="368" t="s">
        <v>480</v>
      </c>
      <c r="BL3" s="368" t="s">
        <v>481</v>
      </c>
      <c r="BM3" s="368" t="s">
        <v>180</v>
      </c>
      <c r="BN3" s="368" t="s">
        <v>482</v>
      </c>
      <c r="BO3" s="368" t="s">
        <v>481</v>
      </c>
      <c r="BP3" s="369" t="s">
        <v>180</v>
      </c>
      <c r="BQ3" s="368" t="s">
        <v>436</v>
      </c>
      <c r="BR3" s="276" t="s">
        <v>480</v>
      </c>
      <c r="BS3" s="276" t="s">
        <v>481</v>
      </c>
      <c r="BT3" s="369" t="s">
        <v>180</v>
      </c>
      <c r="BU3" s="368" t="s">
        <v>436</v>
      </c>
      <c r="BV3" s="368" t="s">
        <v>480</v>
      </c>
      <c r="BW3" s="368" t="s">
        <v>481</v>
      </c>
      <c r="BX3" s="368" t="s">
        <v>180</v>
      </c>
      <c r="BY3" s="368" t="s">
        <v>482</v>
      </c>
      <c r="BZ3" s="368" t="s">
        <v>481</v>
      </c>
      <c r="CA3" s="268" t="s">
        <v>180</v>
      </c>
      <c r="CB3" s="192" t="s">
        <v>436</v>
      </c>
      <c r="CC3" s="276" t="s">
        <v>480</v>
      </c>
      <c r="CD3" s="276" t="s">
        <v>481</v>
      </c>
      <c r="CE3" s="268" t="s">
        <v>180</v>
      </c>
      <c r="CF3" s="192" t="s">
        <v>436</v>
      </c>
      <c r="CG3" s="192" t="s">
        <v>480</v>
      </c>
      <c r="CH3" s="192" t="s">
        <v>481</v>
      </c>
      <c r="CI3" s="192" t="s">
        <v>180</v>
      </c>
      <c r="CJ3" s="192" t="s">
        <v>482</v>
      </c>
      <c r="CK3" s="192" t="s">
        <v>481</v>
      </c>
    </row>
    <row r="4" spans="1:89" ht="30" x14ac:dyDescent="0.25">
      <c r="A4" s="42" t="s">
        <v>483</v>
      </c>
      <c r="B4" s="42"/>
      <c r="L4" s="18">
        <f>+E4</f>
        <v>0</v>
      </c>
      <c r="W4" s="18">
        <f>+P4</f>
        <v>0</v>
      </c>
      <c r="AH4" s="18">
        <f>+AA4</f>
        <v>0</v>
      </c>
      <c r="AS4" s="18">
        <f>+AL4</f>
        <v>0</v>
      </c>
      <c r="BD4" s="18">
        <f>+AW4</f>
        <v>0</v>
      </c>
      <c r="BO4" s="18">
        <f>+BH4</f>
        <v>0</v>
      </c>
      <c r="BZ4" s="18">
        <f>+BS4</f>
        <v>0</v>
      </c>
      <c r="CK4" s="18">
        <f>+CD4</f>
        <v>0</v>
      </c>
    </row>
    <row r="5" spans="1:89" x14ac:dyDescent="0.25">
      <c r="A5">
        <v>7.03</v>
      </c>
      <c r="B5" s="277">
        <v>23</v>
      </c>
      <c r="C5">
        <v>339</v>
      </c>
      <c r="D5" s="30">
        <v>220000</v>
      </c>
      <c r="E5" s="30">
        <f>+B5*D5</f>
        <v>5060000</v>
      </c>
      <c r="J5">
        <f t="shared" ref="J5:J18" si="0">+J4+B5-F5</f>
        <v>23</v>
      </c>
      <c r="K5">
        <f>+K4+C5-H5</f>
        <v>339</v>
      </c>
      <c r="L5" s="18">
        <f t="shared" ref="L5:L18" si="1">+L4+E5-I5</f>
        <v>5060000</v>
      </c>
      <c r="U5">
        <f>+U4+M5-Q5</f>
        <v>0</v>
      </c>
      <c r="V5">
        <f>+V4+N5-S5</f>
        <v>0</v>
      </c>
      <c r="W5" s="18">
        <f>+W4+P5-T5</f>
        <v>0</v>
      </c>
      <c r="AF5">
        <f t="shared" ref="AF5:AF12" si="2">+AF4+X5-AB5</f>
        <v>0</v>
      </c>
      <c r="AG5">
        <f t="shared" ref="AG5:AG12" si="3">+AG4+Y5-AD5</f>
        <v>0</v>
      </c>
      <c r="AH5" s="18">
        <f t="shared" ref="AH5:AH12" si="4">+AH4+AA5-AE5</f>
        <v>0</v>
      </c>
      <c r="AQ5">
        <f t="shared" ref="AQ5:AQ18" si="5">+AQ4+AI5-AM5</f>
        <v>0</v>
      </c>
      <c r="AR5">
        <f>+AR4+AJ5-AO5</f>
        <v>0</v>
      </c>
      <c r="AS5" s="18">
        <f t="shared" ref="AS5:AS18" si="6">+AS4+AL5-AP5</f>
        <v>0</v>
      </c>
      <c r="BB5">
        <f>+BB4+AT5-AX5</f>
        <v>0</v>
      </c>
      <c r="BC5">
        <f>+BC4+AU5-AZ5</f>
        <v>0</v>
      </c>
      <c r="BD5" s="18">
        <f>+BD4+AW5-BA5</f>
        <v>0</v>
      </c>
      <c r="BM5">
        <f>+BM4+BE5-BI5</f>
        <v>0</v>
      </c>
      <c r="BN5">
        <f>+BN4+BF5-BK5</f>
        <v>0</v>
      </c>
      <c r="BO5" s="18">
        <f>+BO4+BH5-BL5</f>
        <v>0</v>
      </c>
      <c r="BX5">
        <f>+BX4+BP5-BT5</f>
        <v>0</v>
      </c>
      <c r="BY5">
        <f>+BY4+BQ5-BV5</f>
        <v>0</v>
      </c>
      <c r="BZ5" s="18">
        <f>+BZ4+BS5-BW5</f>
        <v>0</v>
      </c>
      <c r="CI5">
        <f t="shared" ref="CI5:CI13" si="7">+CI4+CA5-CE5</f>
        <v>0</v>
      </c>
      <c r="CJ5">
        <f>+CJ4+CB5-CG5</f>
        <v>0</v>
      </c>
      <c r="CK5" s="18">
        <f t="shared" ref="CK5:CK13" si="8">+CK4+CD5-CH5</f>
        <v>0</v>
      </c>
    </row>
    <row r="6" spans="1:89" x14ac:dyDescent="0.25">
      <c r="A6">
        <v>7.05</v>
      </c>
      <c r="B6" s="277">
        <v>10</v>
      </c>
      <c r="C6">
        <f>15.6+15.5+17+16.3+17.2+15.9+14.9+16.8</f>
        <v>129.20000000000002</v>
      </c>
      <c r="D6" s="30">
        <v>220000</v>
      </c>
      <c r="E6" s="30">
        <f t="shared" ref="E6:E15" si="9">+B6*D6</f>
        <v>2200000</v>
      </c>
      <c r="F6" s="277">
        <v>23</v>
      </c>
      <c r="G6">
        <v>339</v>
      </c>
      <c r="H6" s="30">
        <v>220000</v>
      </c>
      <c r="I6" s="30">
        <f t="shared" ref="I6:I15" si="10">+H6*F6</f>
        <v>5060000</v>
      </c>
      <c r="J6">
        <f t="shared" si="0"/>
        <v>10</v>
      </c>
      <c r="K6">
        <f t="shared" ref="K6:K13" si="11">+K5+C6-G6</f>
        <v>129.20000000000005</v>
      </c>
      <c r="L6" s="18">
        <f t="shared" si="1"/>
        <v>2200000</v>
      </c>
      <c r="U6">
        <f t="shared" ref="U6:V9" si="12">+U5+M7-Q7</f>
        <v>0</v>
      </c>
      <c r="V6">
        <f t="shared" si="12"/>
        <v>0</v>
      </c>
      <c r="W6" s="18">
        <f>+W5+P7-T7</f>
        <v>0</v>
      </c>
      <c r="AF6">
        <f t="shared" si="2"/>
        <v>0</v>
      </c>
      <c r="AG6">
        <f t="shared" si="3"/>
        <v>0</v>
      </c>
      <c r="AH6" s="18">
        <f t="shared" si="4"/>
        <v>0</v>
      </c>
      <c r="AQ6">
        <f t="shared" si="5"/>
        <v>0</v>
      </c>
      <c r="AR6">
        <f t="shared" ref="AR6:AR13" si="13">+AR5+AJ6-AN6</f>
        <v>0</v>
      </c>
      <c r="AS6" s="18">
        <f t="shared" si="6"/>
        <v>0</v>
      </c>
      <c r="BB6">
        <f>+BB5+AT6-AX6</f>
        <v>0</v>
      </c>
      <c r="BC6">
        <f>+BC5+AU6-AY6</f>
        <v>0</v>
      </c>
      <c r="BD6" s="18">
        <f>+BD5+AW6-BA6</f>
        <v>0</v>
      </c>
      <c r="BM6">
        <f>+BM5+BE6-BI6</f>
        <v>0</v>
      </c>
      <c r="BN6">
        <f t="shared" ref="BN6:BN12" si="14">+BN5+BF6-BJ6</f>
        <v>0</v>
      </c>
      <c r="BO6" s="18">
        <f>+BO5+BH6-BL6</f>
        <v>0</v>
      </c>
      <c r="BX6">
        <f>+BX5+BP6-BT6</f>
        <v>0</v>
      </c>
      <c r="BY6">
        <f t="shared" ref="BY6:BY12" si="15">+BY5+BQ6-BU6</f>
        <v>0</v>
      </c>
      <c r="BZ6" s="18">
        <f>+BZ5+BS6-BW6</f>
        <v>0</v>
      </c>
      <c r="CI6">
        <f t="shared" si="7"/>
        <v>0</v>
      </c>
      <c r="CJ6">
        <f t="shared" ref="CJ6:CJ13" si="16">+CJ5+CB6-CF6</f>
        <v>0</v>
      </c>
      <c r="CK6" s="18">
        <f t="shared" si="8"/>
        <v>0</v>
      </c>
    </row>
    <row r="7" spans="1:89" x14ac:dyDescent="0.25">
      <c r="A7">
        <v>7.08</v>
      </c>
      <c r="E7" s="30">
        <f t="shared" si="9"/>
        <v>0</v>
      </c>
      <c r="F7" s="277">
        <v>10</v>
      </c>
      <c r="G7">
        <v>129.19999999999999</v>
      </c>
      <c r="H7" s="30">
        <v>220000</v>
      </c>
      <c r="I7" s="30">
        <f t="shared" si="10"/>
        <v>2200000</v>
      </c>
      <c r="J7">
        <f t="shared" si="0"/>
        <v>0</v>
      </c>
      <c r="K7">
        <f t="shared" si="11"/>
        <v>0</v>
      </c>
      <c r="L7" s="18">
        <f t="shared" si="1"/>
        <v>0</v>
      </c>
      <c r="M7" s="277">
        <v>5</v>
      </c>
      <c r="N7">
        <f>27.2+27.3+27.4+23+25.7</f>
        <v>130.6</v>
      </c>
      <c r="O7" s="30">
        <v>450000</v>
      </c>
      <c r="P7" s="30">
        <f>+O7*M7</f>
        <v>2250000</v>
      </c>
      <c r="Q7" s="277">
        <v>5</v>
      </c>
      <c r="R7">
        <f>27.2+27.3+27.4+23+25.7</f>
        <v>130.6</v>
      </c>
      <c r="S7" s="30">
        <v>450000</v>
      </c>
      <c r="T7" s="30">
        <f>+S7*Q7</f>
        <v>2250000</v>
      </c>
      <c r="U7">
        <f t="shared" si="12"/>
        <v>0</v>
      </c>
      <c r="V7">
        <f t="shared" si="12"/>
        <v>0</v>
      </c>
      <c r="W7" s="18">
        <f>+W6+P8-T8</f>
        <v>0</v>
      </c>
      <c r="AF7">
        <f t="shared" si="2"/>
        <v>0</v>
      </c>
      <c r="AG7">
        <f t="shared" si="3"/>
        <v>0</v>
      </c>
      <c r="AH7" s="18">
        <f t="shared" si="4"/>
        <v>0</v>
      </c>
      <c r="AQ7">
        <f t="shared" si="5"/>
        <v>0</v>
      </c>
      <c r="AR7">
        <f t="shared" si="13"/>
        <v>0</v>
      </c>
      <c r="AS7" s="18">
        <f t="shared" si="6"/>
        <v>0</v>
      </c>
      <c r="BB7">
        <f t="shared" ref="BB7:BB18" si="17">+BB6+AT7-AX7</f>
        <v>0</v>
      </c>
      <c r="BC7">
        <f t="shared" ref="BC7:BC10" si="18">+BC6+AU7-AY7</f>
        <v>0</v>
      </c>
      <c r="BD7" s="18">
        <f t="shared" ref="BD7:BD18" si="19">+BD6+AW7-BA7</f>
        <v>0</v>
      </c>
      <c r="BM7">
        <f t="shared" ref="BM7:BM18" si="20">+BM6+BE7-BI7</f>
        <v>0</v>
      </c>
      <c r="BN7">
        <f t="shared" si="14"/>
        <v>0</v>
      </c>
      <c r="BO7" s="18">
        <f t="shared" ref="BO7:BO18" si="21">+BO6+BH7-BL7</f>
        <v>0</v>
      </c>
      <c r="BX7">
        <f t="shared" ref="BX7:BX18" si="22">+BX6+BP7-BT7</f>
        <v>0</v>
      </c>
      <c r="BY7">
        <f t="shared" si="15"/>
        <v>0</v>
      </c>
      <c r="BZ7" s="18">
        <f t="shared" ref="BZ7:BZ18" si="23">+BZ6+BS7-BW7</f>
        <v>0</v>
      </c>
      <c r="CA7">
        <v>5</v>
      </c>
      <c r="CE7">
        <v>5</v>
      </c>
      <c r="CI7">
        <f t="shared" si="7"/>
        <v>0</v>
      </c>
      <c r="CJ7">
        <f t="shared" si="16"/>
        <v>0</v>
      </c>
      <c r="CK7" s="18">
        <f t="shared" si="8"/>
        <v>0</v>
      </c>
    </row>
    <row r="8" spans="1:89" x14ac:dyDescent="0.25">
      <c r="A8">
        <v>7.09</v>
      </c>
      <c r="E8" s="30">
        <f t="shared" si="9"/>
        <v>0</v>
      </c>
      <c r="I8" s="30">
        <f t="shared" si="10"/>
        <v>0</v>
      </c>
      <c r="J8">
        <f t="shared" si="0"/>
        <v>0</v>
      </c>
      <c r="K8">
        <f t="shared" si="11"/>
        <v>0</v>
      </c>
      <c r="L8" s="18">
        <f t="shared" si="1"/>
        <v>0</v>
      </c>
      <c r="T8" s="30">
        <f t="shared" ref="T8:T18" si="24">+S8*Q8</f>
        <v>0</v>
      </c>
      <c r="U8">
        <f t="shared" si="12"/>
        <v>0</v>
      </c>
      <c r="V8">
        <f t="shared" si="12"/>
        <v>0</v>
      </c>
      <c r="W8" s="18">
        <f>+W7+P9-T9</f>
        <v>0</v>
      </c>
      <c r="AF8">
        <f t="shared" si="2"/>
        <v>0</v>
      </c>
      <c r="AG8">
        <f t="shared" si="3"/>
        <v>0</v>
      </c>
      <c r="AH8" s="18">
        <f t="shared" si="4"/>
        <v>0</v>
      </c>
      <c r="AQ8">
        <f t="shared" si="5"/>
        <v>0</v>
      </c>
      <c r="AR8">
        <f t="shared" si="13"/>
        <v>0</v>
      </c>
      <c r="AS8" s="18">
        <f t="shared" si="6"/>
        <v>0</v>
      </c>
      <c r="BB8">
        <f t="shared" si="17"/>
        <v>0</v>
      </c>
      <c r="BC8">
        <f t="shared" si="18"/>
        <v>0</v>
      </c>
      <c r="BD8" s="18">
        <f t="shared" si="19"/>
        <v>0</v>
      </c>
      <c r="BM8">
        <f t="shared" si="20"/>
        <v>0</v>
      </c>
      <c r="BN8">
        <f t="shared" si="14"/>
        <v>0</v>
      </c>
      <c r="BO8" s="18">
        <f t="shared" si="21"/>
        <v>0</v>
      </c>
      <c r="BX8">
        <f t="shared" si="22"/>
        <v>0</v>
      </c>
      <c r="BY8">
        <f t="shared" si="15"/>
        <v>0</v>
      </c>
      <c r="BZ8" s="18">
        <f t="shared" si="23"/>
        <v>0</v>
      </c>
      <c r="CA8">
        <v>100</v>
      </c>
      <c r="CC8" s="30">
        <v>33500</v>
      </c>
      <c r="CD8" s="30">
        <f>+CA8*CC8</f>
        <v>3350000</v>
      </c>
      <c r="CE8">
        <v>100</v>
      </c>
      <c r="CG8" s="16">
        <v>33500</v>
      </c>
      <c r="CH8" s="30">
        <f>+CE8*CG8</f>
        <v>3350000</v>
      </c>
      <c r="CI8">
        <f t="shared" si="7"/>
        <v>0</v>
      </c>
      <c r="CJ8">
        <f t="shared" si="16"/>
        <v>0</v>
      </c>
      <c r="CK8" s="18">
        <f t="shared" si="8"/>
        <v>0</v>
      </c>
    </row>
    <row r="9" spans="1:89" x14ac:dyDescent="0.25">
      <c r="A9">
        <v>7.15</v>
      </c>
      <c r="B9">
        <v>32</v>
      </c>
      <c r="D9" s="30">
        <v>220000</v>
      </c>
      <c r="E9" s="30">
        <f t="shared" si="9"/>
        <v>7040000</v>
      </c>
      <c r="I9" s="30">
        <f t="shared" si="10"/>
        <v>0</v>
      </c>
      <c r="J9">
        <f t="shared" si="0"/>
        <v>32</v>
      </c>
      <c r="K9">
        <f t="shared" si="11"/>
        <v>0</v>
      </c>
      <c r="L9" s="18">
        <f t="shared" si="1"/>
        <v>7040000</v>
      </c>
      <c r="T9" s="30">
        <f t="shared" si="24"/>
        <v>0</v>
      </c>
      <c r="U9">
        <f t="shared" si="12"/>
        <v>0</v>
      </c>
      <c r="V9">
        <f t="shared" si="12"/>
        <v>0</v>
      </c>
      <c r="W9" s="18">
        <f>+W8+P10-T10</f>
        <v>0</v>
      </c>
      <c r="AF9">
        <f t="shared" si="2"/>
        <v>0</v>
      </c>
      <c r="AG9">
        <f t="shared" si="3"/>
        <v>0</v>
      </c>
      <c r="AH9" s="18">
        <f t="shared" si="4"/>
        <v>0</v>
      </c>
      <c r="AQ9">
        <f t="shared" si="5"/>
        <v>0</v>
      </c>
      <c r="AR9">
        <f t="shared" si="13"/>
        <v>0</v>
      </c>
      <c r="AS9" s="18">
        <f t="shared" si="6"/>
        <v>0</v>
      </c>
      <c r="BB9">
        <f t="shared" si="17"/>
        <v>0</v>
      </c>
      <c r="BC9">
        <f>+BC8+AU9-AY9</f>
        <v>0</v>
      </c>
      <c r="BD9" s="18">
        <f t="shared" si="19"/>
        <v>0</v>
      </c>
      <c r="BF9">
        <v>45</v>
      </c>
      <c r="BM9">
        <f t="shared" si="20"/>
        <v>0</v>
      </c>
      <c r="BN9">
        <f t="shared" si="14"/>
        <v>45</v>
      </c>
      <c r="BO9" s="18">
        <f t="shared" si="21"/>
        <v>0</v>
      </c>
      <c r="BX9">
        <f t="shared" si="22"/>
        <v>0</v>
      </c>
      <c r="BY9">
        <f t="shared" si="15"/>
        <v>0</v>
      </c>
      <c r="BZ9" s="18">
        <f t="shared" si="23"/>
        <v>0</v>
      </c>
      <c r="CI9">
        <f t="shared" si="7"/>
        <v>0</v>
      </c>
      <c r="CJ9">
        <f t="shared" si="16"/>
        <v>0</v>
      </c>
      <c r="CK9" s="18">
        <f t="shared" si="8"/>
        <v>0</v>
      </c>
    </row>
    <row r="10" spans="1:89" x14ac:dyDescent="0.25">
      <c r="A10" s="76">
        <v>7.2</v>
      </c>
      <c r="E10" s="30">
        <f t="shared" si="9"/>
        <v>0</v>
      </c>
      <c r="I10" s="30">
        <f t="shared" si="10"/>
        <v>0</v>
      </c>
      <c r="J10">
        <f t="shared" si="0"/>
        <v>32</v>
      </c>
      <c r="K10">
        <f t="shared" si="11"/>
        <v>0</v>
      </c>
      <c r="L10" s="18">
        <f t="shared" si="1"/>
        <v>7040000</v>
      </c>
      <c r="T10" s="30">
        <f t="shared" si="24"/>
        <v>0</v>
      </c>
      <c r="U10">
        <f t="shared" ref="U10:V12" si="25">+U9+M12-Q12</f>
        <v>0</v>
      </c>
      <c r="V10">
        <f t="shared" si="25"/>
        <v>0</v>
      </c>
      <c r="W10" s="18">
        <f>+W9+P12-T12</f>
        <v>0</v>
      </c>
      <c r="Y10">
        <v>12.6</v>
      </c>
      <c r="Z10" s="30">
        <v>31000</v>
      </c>
      <c r="AA10" s="16">
        <f>+Z10*Y10</f>
        <v>390600</v>
      </c>
      <c r="AF10">
        <f t="shared" si="2"/>
        <v>0</v>
      </c>
      <c r="AG10">
        <f t="shared" si="3"/>
        <v>12.6</v>
      </c>
      <c r="AH10" s="18">
        <f t="shared" si="4"/>
        <v>390600</v>
      </c>
      <c r="AI10">
        <v>1</v>
      </c>
      <c r="AJ10">
        <v>150</v>
      </c>
      <c r="AK10" s="30">
        <v>12000</v>
      </c>
      <c r="AL10" s="30">
        <f>+AJ10*AK10</f>
        <v>1800000</v>
      </c>
      <c r="AM10" s="30">
        <v>1</v>
      </c>
      <c r="AN10" s="30">
        <v>150</v>
      </c>
      <c r="AO10" s="30">
        <v>12000</v>
      </c>
      <c r="AP10" s="18">
        <f t="shared" ref="AP10:AP15" si="26">+AO10*AN10</f>
        <v>1800000</v>
      </c>
      <c r="AQ10">
        <f t="shared" si="5"/>
        <v>0</v>
      </c>
      <c r="AR10">
        <f t="shared" si="13"/>
        <v>0</v>
      </c>
      <c r="AS10" s="18">
        <f t="shared" si="6"/>
        <v>0</v>
      </c>
      <c r="AT10">
        <v>1</v>
      </c>
      <c r="AU10">
        <v>3.5</v>
      </c>
      <c r="AW10" s="30">
        <f>+AV10*AT10</f>
        <v>0</v>
      </c>
      <c r="BB10">
        <f t="shared" si="17"/>
        <v>1</v>
      </c>
      <c r="BC10">
        <f t="shared" si="18"/>
        <v>3.5</v>
      </c>
      <c r="BD10" s="18">
        <f t="shared" si="19"/>
        <v>0</v>
      </c>
      <c r="BE10">
        <v>1</v>
      </c>
      <c r="BF10" s="16">
        <v>4.5</v>
      </c>
      <c r="BM10">
        <f t="shared" si="20"/>
        <v>1</v>
      </c>
      <c r="BN10">
        <f t="shared" si="14"/>
        <v>49.5</v>
      </c>
      <c r="BO10" s="18">
        <f t="shared" si="21"/>
        <v>0</v>
      </c>
      <c r="BP10">
        <v>1</v>
      </c>
      <c r="BQ10">
        <v>12</v>
      </c>
      <c r="BX10">
        <f t="shared" si="22"/>
        <v>1</v>
      </c>
      <c r="BY10">
        <f t="shared" si="15"/>
        <v>12</v>
      </c>
      <c r="BZ10" s="18">
        <f t="shared" si="23"/>
        <v>0</v>
      </c>
      <c r="CI10">
        <f t="shared" si="7"/>
        <v>0</v>
      </c>
      <c r="CJ10">
        <f t="shared" si="16"/>
        <v>0</v>
      </c>
      <c r="CK10" s="18">
        <f t="shared" si="8"/>
        <v>0</v>
      </c>
    </row>
    <row r="11" spans="1:89" x14ac:dyDescent="0.25">
      <c r="A11" s="76">
        <v>7.21</v>
      </c>
      <c r="E11" s="30">
        <f>+B11*D11</f>
        <v>0</v>
      </c>
      <c r="I11" s="30">
        <f t="shared" si="10"/>
        <v>0</v>
      </c>
      <c r="J11">
        <f t="shared" si="0"/>
        <v>32</v>
      </c>
      <c r="K11">
        <f t="shared" si="11"/>
        <v>0</v>
      </c>
      <c r="L11" s="18">
        <f t="shared" si="1"/>
        <v>7040000</v>
      </c>
      <c r="T11" s="30">
        <f>+S11*Q11</f>
        <v>0</v>
      </c>
      <c r="U11">
        <f t="shared" si="25"/>
        <v>0</v>
      </c>
      <c r="V11">
        <f t="shared" si="25"/>
        <v>0</v>
      </c>
      <c r="W11" s="18">
        <f>+W10+P13-T13</f>
        <v>0</v>
      </c>
      <c r="Z11" s="30"/>
      <c r="AF11">
        <f t="shared" si="2"/>
        <v>0</v>
      </c>
      <c r="AG11">
        <f t="shared" si="3"/>
        <v>12.6</v>
      </c>
      <c r="AH11" s="18">
        <f t="shared" si="4"/>
        <v>390600</v>
      </c>
      <c r="AM11" s="30"/>
      <c r="AN11" s="30"/>
      <c r="AO11" s="30"/>
      <c r="AP11" s="18">
        <f t="shared" si="26"/>
        <v>0</v>
      </c>
      <c r="AQ11">
        <f t="shared" si="5"/>
        <v>0</v>
      </c>
      <c r="AR11">
        <f t="shared" si="13"/>
        <v>0</v>
      </c>
      <c r="AS11" s="18">
        <f t="shared" si="6"/>
        <v>0</v>
      </c>
      <c r="AW11" s="30">
        <f>+AV11*AT11</f>
        <v>0</v>
      </c>
      <c r="BB11">
        <f t="shared" ref="BB11:BC13" si="27">+BB10+AT11-AX11</f>
        <v>1</v>
      </c>
      <c r="BC11">
        <f t="shared" si="27"/>
        <v>3.5</v>
      </c>
      <c r="BD11" s="18">
        <f>+BD10+AW11-BA11</f>
        <v>0</v>
      </c>
      <c r="BF11" s="16"/>
      <c r="BJ11">
        <v>10</v>
      </c>
      <c r="BN11">
        <f t="shared" si="14"/>
        <v>39.5</v>
      </c>
      <c r="BO11" s="18">
        <f>+BO10+BH11-BL11</f>
        <v>0</v>
      </c>
      <c r="BY11">
        <f t="shared" si="15"/>
        <v>12</v>
      </c>
      <c r="BZ11" s="18">
        <f>+BZ10+BS11-BW11</f>
        <v>0</v>
      </c>
      <c r="CI11">
        <f t="shared" si="7"/>
        <v>0</v>
      </c>
      <c r="CJ11">
        <f t="shared" si="16"/>
        <v>0</v>
      </c>
      <c r="CK11" s="18">
        <f t="shared" si="8"/>
        <v>0</v>
      </c>
    </row>
    <row r="12" spans="1:89" x14ac:dyDescent="0.25">
      <c r="A12" s="432">
        <v>7.27</v>
      </c>
      <c r="E12" s="30">
        <f>+B12*D12</f>
        <v>0</v>
      </c>
      <c r="I12" s="30">
        <f t="shared" si="10"/>
        <v>0</v>
      </c>
      <c r="J12">
        <f t="shared" si="0"/>
        <v>32</v>
      </c>
      <c r="K12">
        <f t="shared" si="11"/>
        <v>0</v>
      </c>
      <c r="L12" s="18">
        <f t="shared" si="1"/>
        <v>7040000</v>
      </c>
      <c r="T12" s="30">
        <f>+S12*Q12</f>
        <v>0</v>
      </c>
      <c r="U12">
        <f t="shared" si="25"/>
        <v>0</v>
      </c>
      <c r="V12">
        <f t="shared" si="25"/>
        <v>0</v>
      </c>
      <c r="W12" s="18">
        <f>+W11+P14-T14</f>
        <v>0</v>
      </c>
      <c r="AF12">
        <f t="shared" si="2"/>
        <v>0</v>
      </c>
      <c r="AG12">
        <f t="shared" si="3"/>
        <v>12.6</v>
      </c>
      <c r="AH12" s="18">
        <f t="shared" si="4"/>
        <v>390600</v>
      </c>
      <c r="AI12">
        <v>2</v>
      </c>
      <c r="AJ12">
        <f>138+157</f>
        <v>295</v>
      </c>
      <c r="AK12" s="30">
        <v>10000</v>
      </c>
      <c r="AL12" s="30">
        <f t="shared" ref="AL12:AL18" si="28">+AJ12*AK12</f>
        <v>2950000</v>
      </c>
      <c r="AM12">
        <v>2</v>
      </c>
      <c r="AN12">
        <v>295</v>
      </c>
      <c r="AO12" s="30">
        <v>10000</v>
      </c>
      <c r="AP12" s="18">
        <f t="shared" si="26"/>
        <v>2950000</v>
      </c>
      <c r="AQ12">
        <f t="shared" si="5"/>
        <v>0</v>
      </c>
      <c r="AR12">
        <f t="shared" si="13"/>
        <v>0</v>
      </c>
      <c r="AS12" s="18">
        <f t="shared" si="6"/>
        <v>0</v>
      </c>
      <c r="AW12" s="30">
        <f>+AV12*AT12</f>
        <v>0</v>
      </c>
      <c r="BB12">
        <f t="shared" si="27"/>
        <v>1</v>
      </c>
      <c r="BC12">
        <f t="shared" si="27"/>
        <v>3.5</v>
      </c>
      <c r="BD12" s="18">
        <f>+BD11+AW12-BA12</f>
        <v>0</v>
      </c>
      <c r="BM12">
        <f>+BM10+BE12-BI12</f>
        <v>1</v>
      </c>
      <c r="BN12">
        <f t="shared" si="14"/>
        <v>39.5</v>
      </c>
      <c r="BO12" s="18">
        <f>+BO11+BH12-BL12</f>
        <v>0</v>
      </c>
      <c r="BX12">
        <f>+BX10+BP12-BT12</f>
        <v>1</v>
      </c>
      <c r="BY12">
        <f t="shared" si="15"/>
        <v>12</v>
      </c>
      <c r="BZ12" s="18">
        <f>+BZ11+BS12-BW12</f>
        <v>0</v>
      </c>
      <c r="CI12">
        <f t="shared" si="7"/>
        <v>0</v>
      </c>
      <c r="CJ12">
        <f t="shared" si="16"/>
        <v>0</v>
      </c>
      <c r="CK12" s="18">
        <f t="shared" si="8"/>
        <v>0</v>
      </c>
    </row>
    <row r="13" spans="1:89" x14ac:dyDescent="0.25">
      <c r="A13">
        <v>7.29</v>
      </c>
      <c r="E13" s="30">
        <f t="shared" si="9"/>
        <v>0</v>
      </c>
      <c r="I13" s="30">
        <f t="shared" si="10"/>
        <v>0</v>
      </c>
      <c r="J13">
        <f t="shared" si="0"/>
        <v>32</v>
      </c>
      <c r="K13">
        <f t="shared" si="11"/>
        <v>0</v>
      </c>
      <c r="L13" s="18">
        <f t="shared" si="1"/>
        <v>7040000</v>
      </c>
      <c r="T13" s="30">
        <f t="shared" si="24"/>
        <v>0</v>
      </c>
      <c r="U13">
        <f t="shared" ref="U13:U18" si="29">+U12+M13-Q13</f>
        <v>0</v>
      </c>
      <c r="V13">
        <f t="shared" ref="V13:V18" si="30">+V12+N13-S13</f>
        <v>0</v>
      </c>
      <c r="W13" s="18">
        <f t="shared" ref="W13:W18" si="31">+W12+P13-T13</f>
        <v>0</v>
      </c>
      <c r="AF13">
        <f t="shared" ref="AF13:AF18" si="32">+AF12+X13-AB13</f>
        <v>0</v>
      </c>
      <c r="AG13">
        <f t="shared" ref="AG13:AG18" si="33">+AG12+Y13-AD13</f>
        <v>12.6</v>
      </c>
      <c r="AH13" s="18">
        <f t="shared" ref="AH13:AH18" si="34">+AH12+AA13-AE13</f>
        <v>390600</v>
      </c>
      <c r="AI13">
        <v>2</v>
      </c>
      <c r="AJ13">
        <v>358</v>
      </c>
      <c r="AK13" s="30">
        <v>10000</v>
      </c>
      <c r="AL13" s="30">
        <f t="shared" si="28"/>
        <v>3580000</v>
      </c>
      <c r="AP13" s="18">
        <f t="shared" si="26"/>
        <v>0</v>
      </c>
      <c r="AQ13">
        <f t="shared" si="5"/>
        <v>2</v>
      </c>
      <c r="AR13">
        <f t="shared" si="13"/>
        <v>358</v>
      </c>
      <c r="AS13" s="18">
        <f t="shared" si="6"/>
        <v>3580000</v>
      </c>
      <c r="AT13">
        <v>2</v>
      </c>
      <c r="AV13" s="30">
        <v>40000</v>
      </c>
      <c r="AW13" s="30">
        <f>+AV13*AT13</f>
        <v>80000</v>
      </c>
      <c r="BB13">
        <f t="shared" si="27"/>
        <v>3</v>
      </c>
      <c r="BC13">
        <f t="shared" si="27"/>
        <v>3.5</v>
      </c>
      <c r="BD13" s="18">
        <f>+BD12+AW13-BA13</f>
        <v>80000</v>
      </c>
      <c r="BM13">
        <f t="shared" si="20"/>
        <v>1</v>
      </c>
      <c r="BN13">
        <f t="shared" ref="BN13:BN18" si="35">+BN12+BF13-BK13</f>
        <v>39.5</v>
      </c>
      <c r="BO13" s="18">
        <f t="shared" si="21"/>
        <v>0</v>
      </c>
      <c r="BX13">
        <f t="shared" si="22"/>
        <v>1</v>
      </c>
      <c r="BY13">
        <f t="shared" ref="BY13:BY18" si="36">+BY12+BQ13-BV13</f>
        <v>12</v>
      </c>
      <c r="BZ13" s="18">
        <f t="shared" si="23"/>
        <v>0</v>
      </c>
      <c r="CI13">
        <f t="shared" si="7"/>
        <v>0</v>
      </c>
      <c r="CJ13">
        <f t="shared" si="16"/>
        <v>0</v>
      </c>
      <c r="CK13" s="18">
        <f t="shared" si="8"/>
        <v>0</v>
      </c>
    </row>
    <row r="14" spans="1:89" x14ac:dyDescent="0.25">
      <c r="E14" s="30">
        <f t="shared" si="9"/>
        <v>0</v>
      </c>
      <c r="I14" s="30">
        <f t="shared" si="10"/>
        <v>0</v>
      </c>
      <c r="J14">
        <f t="shared" si="0"/>
        <v>32</v>
      </c>
      <c r="K14">
        <f>+K13+C14-H14</f>
        <v>0</v>
      </c>
      <c r="L14" s="18">
        <f t="shared" si="1"/>
        <v>7040000</v>
      </c>
      <c r="T14" s="30">
        <f t="shared" si="24"/>
        <v>0</v>
      </c>
      <c r="U14">
        <f t="shared" si="29"/>
        <v>0</v>
      </c>
      <c r="V14">
        <f t="shared" si="30"/>
        <v>0</v>
      </c>
      <c r="W14" s="18">
        <f t="shared" si="31"/>
        <v>0</v>
      </c>
      <c r="AF14">
        <f t="shared" si="32"/>
        <v>0</v>
      </c>
      <c r="AG14">
        <f t="shared" si="33"/>
        <v>12.6</v>
      </c>
      <c r="AH14" s="18">
        <f t="shared" si="34"/>
        <v>390600</v>
      </c>
      <c r="AL14" s="30">
        <f t="shared" si="28"/>
        <v>0</v>
      </c>
      <c r="AP14" s="18">
        <f t="shared" si="26"/>
        <v>0</v>
      </c>
      <c r="AQ14">
        <f t="shared" si="5"/>
        <v>2</v>
      </c>
      <c r="AR14">
        <f>+AR13+AJ14-AO14</f>
        <v>358</v>
      </c>
      <c r="AS14" s="18">
        <f t="shared" si="6"/>
        <v>3580000</v>
      </c>
      <c r="AW14" s="30">
        <f t="shared" ref="AW14:AW18" si="37">+AV14*AT14</f>
        <v>0</v>
      </c>
      <c r="BB14">
        <f t="shared" si="17"/>
        <v>3</v>
      </c>
      <c r="BC14">
        <f>+BC13+AU14-AZ14</f>
        <v>3.5</v>
      </c>
      <c r="BD14" s="18">
        <f t="shared" si="19"/>
        <v>80000</v>
      </c>
      <c r="BM14">
        <f t="shared" si="20"/>
        <v>1</v>
      </c>
      <c r="BN14">
        <f t="shared" si="35"/>
        <v>39.5</v>
      </c>
      <c r="BO14" s="18">
        <f t="shared" si="21"/>
        <v>0</v>
      </c>
      <c r="BX14">
        <f t="shared" si="22"/>
        <v>1</v>
      </c>
      <c r="BY14">
        <f t="shared" si="36"/>
        <v>12</v>
      </c>
      <c r="BZ14" s="18">
        <f t="shared" si="23"/>
        <v>0</v>
      </c>
      <c r="CI14">
        <f t="shared" ref="CI14:CI18" si="38">+CI13+CA14-CE14</f>
        <v>0</v>
      </c>
      <c r="CJ14">
        <f t="shared" ref="CJ14:CJ18" si="39">+CJ13+CB14-CG14</f>
        <v>0</v>
      </c>
      <c r="CK14" s="18">
        <f t="shared" ref="CK14:CK18" si="40">+CK13+CD14-CH14</f>
        <v>0</v>
      </c>
    </row>
    <row r="15" spans="1:89" x14ac:dyDescent="0.25">
      <c r="E15" s="30">
        <f t="shared" si="9"/>
        <v>0</v>
      </c>
      <c r="I15" s="30">
        <f t="shared" si="10"/>
        <v>0</v>
      </c>
      <c r="J15">
        <f t="shared" si="0"/>
        <v>32</v>
      </c>
      <c r="K15">
        <f>+K14+C15-H15</f>
        <v>0</v>
      </c>
      <c r="L15" s="18">
        <f t="shared" si="1"/>
        <v>7040000</v>
      </c>
      <c r="T15" s="30">
        <f t="shared" si="24"/>
        <v>0</v>
      </c>
      <c r="U15">
        <f t="shared" si="29"/>
        <v>0</v>
      </c>
      <c r="V15">
        <f t="shared" si="30"/>
        <v>0</v>
      </c>
      <c r="W15" s="18">
        <f t="shared" si="31"/>
        <v>0</v>
      </c>
      <c r="AF15">
        <f t="shared" si="32"/>
        <v>0</v>
      </c>
      <c r="AG15">
        <f t="shared" si="33"/>
        <v>12.6</v>
      </c>
      <c r="AH15" s="18">
        <f t="shared" si="34"/>
        <v>390600</v>
      </c>
      <c r="AL15" s="30">
        <f t="shared" si="28"/>
        <v>0</v>
      </c>
      <c r="AP15" s="18">
        <f t="shared" si="26"/>
        <v>0</v>
      </c>
      <c r="AQ15">
        <f t="shared" si="5"/>
        <v>2</v>
      </c>
      <c r="AR15">
        <f>+AR14+AJ15-AO15</f>
        <v>358</v>
      </c>
      <c r="AS15" s="18">
        <f t="shared" si="6"/>
        <v>3580000</v>
      </c>
      <c r="AW15" s="30">
        <f t="shared" si="37"/>
        <v>0</v>
      </c>
      <c r="BB15">
        <f t="shared" si="17"/>
        <v>3</v>
      </c>
      <c r="BC15">
        <f>+BC14+AU15-AZ15</f>
        <v>3.5</v>
      </c>
      <c r="BD15" s="18">
        <f t="shared" si="19"/>
        <v>80000</v>
      </c>
      <c r="BM15">
        <f t="shared" si="20"/>
        <v>1</v>
      </c>
      <c r="BN15">
        <f t="shared" si="35"/>
        <v>39.5</v>
      </c>
      <c r="BO15" s="18">
        <f t="shared" si="21"/>
        <v>0</v>
      </c>
      <c r="BX15">
        <f t="shared" si="22"/>
        <v>1</v>
      </c>
      <c r="BY15">
        <f t="shared" si="36"/>
        <v>12</v>
      </c>
      <c r="BZ15" s="18">
        <f t="shared" si="23"/>
        <v>0</v>
      </c>
      <c r="CI15">
        <f t="shared" si="38"/>
        <v>0</v>
      </c>
      <c r="CJ15">
        <f t="shared" si="39"/>
        <v>0</v>
      </c>
      <c r="CK15" s="18">
        <f t="shared" si="40"/>
        <v>0</v>
      </c>
    </row>
    <row r="16" spans="1:89" x14ac:dyDescent="0.25">
      <c r="J16">
        <f t="shared" si="0"/>
        <v>32</v>
      </c>
      <c r="K16">
        <f>+K15+C16-H16</f>
        <v>0</v>
      </c>
      <c r="L16" s="18">
        <f t="shared" si="1"/>
        <v>7040000</v>
      </c>
      <c r="T16" s="30">
        <f t="shared" si="24"/>
        <v>0</v>
      </c>
      <c r="U16">
        <f t="shared" si="29"/>
        <v>0</v>
      </c>
      <c r="V16">
        <f t="shared" si="30"/>
        <v>0</v>
      </c>
      <c r="W16" s="18">
        <f t="shared" si="31"/>
        <v>0</v>
      </c>
      <c r="AF16">
        <f t="shared" si="32"/>
        <v>0</v>
      </c>
      <c r="AG16">
        <f t="shared" si="33"/>
        <v>12.6</v>
      </c>
      <c r="AH16" s="18">
        <f t="shared" si="34"/>
        <v>390600</v>
      </c>
      <c r="AL16" s="30">
        <f t="shared" si="28"/>
        <v>0</v>
      </c>
      <c r="AQ16">
        <f t="shared" si="5"/>
        <v>2</v>
      </c>
      <c r="AR16">
        <f>+AR15+AJ16-AO16</f>
        <v>358</v>
      </c>
      <c r="AS16" s="18">
        <f t="shared" si="6"/>
        <v>3580000</v>
      </c>
      <c r="AW16" s="30">
        <f t="shared" si="37"/>
        <v>0</v>
      </c>
      <c r="BB16">
        <f t="shared" si="17"/>
        <v>3</v>
      </c>
      <c r="BC16">
        <f>+BC15+AU16-AZ16</f>
        <v>3.5</v>
      </c>
      <c r="BD16" s="18">
        <f t="shared" si="19"/>
        <v>80000</v>
      </c>
      <c r="BM16">
        <f t="shared" si="20"/>
        <v>1</v>
      </c>
      <c r="BN16">
        <f t="shared" si="35"/>
        <v>39.5</v>
      </c>
      <c r="BO16" s="18">
        <f t="shared" si="21"/>
        <v>0</v>
      </c>
      <c r="BX16">
        <f t="shared" si="22"/>
        <v>1</v>
      </c>
      <c r="BY16">
        <f t="shared" si="36"/>
        <v>12</v>
      </c>
      <c r="BZ16" s="18">
        <f t="shared" si="23"/>
        <v>0</v>
      </c>
      <c r="CI16">
        <f t="shared" si="38"/>
        <v>0</v>
      </c>
      <c r="CJ16">
        <f t="shared" si="39"/>
        <v>0</v>
      </c>
      <c r="CK16" s="18">
        <f t="shared" si="40"/>
        <v>0</v>
      </c>
    </row>
    <row r="17" spans="10:89" x14ac:dyDescent="0.25">
      <c r="J17">
        <f t="shared" si="0"/>
        <v>32</v>
      </c>
      <c r="K17">
        <f>+K16+C17-H17</f>
        <v>0</v>
      </c>
      <c r="L17" s="18">
        <f t="shared" si="1"/>
        <v>7040000</v>
      </c>
      <c r="T17" s="30">
        <f t="shared" si="24"/>
        <v>0</v>
      </c>
      <c r="U17">
        <f t="shared" si="29"/>
        <v>0</v>
      </c>
      <c r="V17">
        <f t="shared" si="30"/>
        <v>0</v>
      </c>
      <c r="W17" s="18">
        <f t="shared" si="31"/>
        <v>0</v>
      </c>
      <c r="AF17">
        <f t="shared" si="32"/>
        <v>0</v>
      </c>
      <c r="AG17">
        <f t="shared" si="33"/>
        <v>12.6</v>
      </c>
      <c r="AH17" s="18">
        <f t="shared" si="34"/>
        <v>390600</v>
      </c>
      <c r="AL17" s="30">
        <f t="shared" si="28"/>
        <v>0</v>
      </c>
      <c r="AQ17">
        <f t="shared" si="5"/>
        <v>2</v>
      </c>
      <c r="AR17">
        <f>+AR16+AJ17-AO17</f>
        <v>358</v>
      </c>
      <c r="AS17" s="18">
        <f t="shared" si="6"/>
        <v>3580000</v>
      </c>
      <c r="AW17" s="30">
        <f t="shared" si="37"/>
        <v>0</v>
      </c>
      <c r="BB17">
        <f t="shared" si="17"/>
        <v>3</v>
      </c>
      <c r="BC17">
        <f>+BC16+AU17-AZ17</f>
        <v>3.5</v>
      </c>
      <c r="BD17" s="18">
        <f t="shared" si="19"/>
        <v>80000</v>
      </c>
      <c r="BM17">
        <f t="shared" si="20"/>
        <v>1</v>
      </c>
      <c r="BN17">
        <f t="shared" si="35"/>
        <v>39.5</v>
      </c>
      <c r="BO17" s="18">
        <f t="shared" si="21"/>
        <v>0</v>
      </c>
      <c r="BX17">
        <f t="shared" si="22"/>
        <v>1</v>
      </c>
      <c r="BY17">
        <f t="shared" si="36"/>
        <v>12</v>
      </c>
      <c r="BZ17" s="18">
        <f t="shared" si="23"/>
        <v>0</v>
      </c>
      <c r="CI17">
        <f t="shared" si="38"/>
        <v>0</v>
      </c>
      <c r="CJ17">
        <f t="shared" si="39"/>
        <v>0</v>
      </c>
      <c r="CK17" s="18">
        <f t="shared" si="40"/>
        <v>0</v>
      </c>
    </row>
    <row r="18" spans="10:89" x14ac:dyDescent="0.25">
      <c r="J18">
        <f t="shared" si="0"/>
        <v>32</v>
      </c>
      <c r="K18">
        <f>+K17+C18-H18</f>
        <v>0</v>
      </c>
      <c r="L18" s="18">
        <f t="shared" si="1"/>
        <v>7040000</v>
      </c>
      <c r="T18" s="30">
        <f t="shared" si="24"/>
        <v>0</v>
      </c>
      <c r="U18">
        <f t="shared" si="29"/>
        <v>0</v>
      </c>
      <c r="V18">
        <f t="shared" si="30"/>
        <v>0</v>
      </c>
      <c r="W18" s="18">
        <f t="shared" si="31"/>
        <v>0</v>
      </c>
      <c r="AF18">
        <f t="shared" si="32"/>
        <v>0</v>
      </c>
      <c r="AG18">
        <f t="shared" si="33"/>
        <v>12.6</v>
      </c>
      <c r="AH18" s="18">
        <f t="shared" si="34"/>
        <v>390600</v>
      </c>
      <c r="AL18" s="30">
        <f t="shared" si="28"/>
        <v>0</v>
      </c>
      <c r="AQ18">
        <f t="shared" si="5"/>
        <v>2</v>
      </c>
      <c r="AR18">
        <f>+AR17+AJ18-AO18</f>
        <v>358</v>
      </c>
      <c r="AS18" s="18">
        <f t="shared" si="6"/>
        <v>3580000</v>
      </c>
      <c r="AW18" s="30">
        <f t="shared" si="37"/>
        <v>0</v>
      </c>
      <c r="BB18">
        <f t="shared" si="17"/>
        <v>3</v>
      </c>
      <c r="BC18">
        <f>+BC17+AU18-AZ18</f>
        <v>3.5</v>
      </c>
      <c r="BD18" s="18">
        <f t="shared" si="19"/>
        <v>80000</v>
      </c>
      <c r="BM18">
        <f t="shared" si="20"/>
        <v>1</v>
      </c>
      <c r="BN18">
        <f t="shared" si="35"/>
        <v>39.5</v>
      </c>
      <c r="BO18" s="18">
        <f t="shared" si="21"/>
        <v>0</v>
      </c>
      <c r="BX18">
        <f t="shared" si="22"/>
        <v>1</v>
      </c>
      <c r="BY18">
        <f t="shared" si="36"/>
        <v>12</v>
      </c>
      <c r="BZ18" s="18">
        <f t="shared" si="23"/>
        <v>0</v>
      </c>
      <c r="CI18">
        <f t="shared" si="38"/>
        <v>0</v>
      </c>
      <c r="CJ18">
        <f t="shared" si="39"/>
        <v>0</v>
      </c>
      <c r="CK18" s="18">
        <f t="shared" si="40"/>
        <v>0</v>
      </c>
    </row>
  </sheetData>
  <mergeCells count="33">
    <mergeCell ref="AT1:BD1"/>
    <mergeCell ref="AT2:AW2"/>
    <mergeCell ref="AX2:BA2"/>
    <mergeCell ref="BB2:BD2"/>
    <mergeCell ref="A1:A3"/>
    <mergeCell ref="B1:L1"/>
    <mergeCell ref="B2:E2"/>
    <mergeCell ref="F2:I2"/>
    <mergeCell ref="J2:L2"/>
    <mergeCell ref="CA1:CK1"/>
    <mergeCell ref="CA2:CD2"/>
    <mergeCell ref="CE2:CH2"/>
    <mergeCell ref="CI2:CK2"/>
    <mergeCell ref="M2:P2"/>
    <mergeCell ref="Q2:T2"/>
    <mergeCell ref="X1:AH1"/>
    <mergeCell ref="X2:AA2"/>
    <mergeCell ref="AB2:AE2"/>
    <mergeCell ref="AI1:AS1"/>
    <mergeCell ref="AI2:AL2"/>
    <mergeCell ref="AM2:AP2"/>
    <mergeCell ref="AQ2:AS2"/>
    <mergeCell ref="M1:W1"/>
    <mergeCell ref="U2:W2"/>
    <mergeCell ref="AF2:AH2"/>
    <mergeCell ref="BE1:BO1"/>
    <mergeCell ref="BE2:BH2"/>
    <mergeCell ref="BI2:BL2"/>
    <mergeCell ref="BM2:BO2"/>
    <mergeCell ref="BP1:BZ1"/>
    <mergeCell ref="BP2:BS2"/>
    <mergeCell ref="BT2:BW2"/>
    <mergeCell ref="BX2:BZ2"/>
  </mergeCells>
  <pageMargins left="0.7" right="0.7" top="0.75" bottom="0.75" header="0.3" footer="0.3"/>
  <pageSetup paperSize="9" orientation="portrait" horizontalDpi="4294967293" verticalDpi="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B59EA-44ED-483C-A063-48BCA133C0DF}">
  <dimension ref="A1:P22"/>
  <sheetViews>
    <sheetView workbookViewId="0">
      <selection activeCell="O4" activeCellId="1" sqref="O8 O4"/>
    </sheetView>
  </sheetViews>
  <sheetFormatPr defaultRowHeight="15" x14ac:dyDescent="0.25"/>
  <cols>
    <col min="1" max="1" width="10.140625" bestFit="1" customWidth="1"/>
    <col min="2" max="2" width="10.140625" customWidth="1"/>
    <col min="3" max="3" width="11.85546875" bestFit="1" customWidth="1"/>
    <col min="4" max="4" width="10.7109375" bestFit="1" customWidth="1"/>
    <col min="5" max="5" width="8.140625" bestFit="1" customWidth="1"/>
    <col min="6" max="6" width="14.140625" bestFit="1" customWidth="1"/>
    <col min="9" max="9" width="10.7109375" bestFit="1" customWidth="1"/>
    <col min="10" max="10" width="8.140625" bestFit="1" customWidth="1"/>
    <col min="11" max="11" width="14.140625" bestFit="1" customWidth="1"/>
  </cols>
  <sheetData>
    <row r="1" spans="1:16" x14ac:dyDescent="0.25">
      <c r="A1" s="494" t="s">
        <v>473</v>
      </c>
      <c r="B1" s="494" t="s">
        <v>570</v>
      </c>
      <c r="C1" s="496" t="s">
        <v>574</v>
      </c>
      <c r="D1" s="494" t="s">
        <v>415</v>
      </c>
      <c r="E1" s="498" t="s">
        <v>413</v>
      </c>
      <c r="F1" s="445" t="s">
        <v>569</v>
      </c>
      <c r="G1" s="445"/>
      <c r="H1" s="494" t="s">
        <v>457</v>
      </c>
      <c r="I1" s="494" t="s">
        <v>415</v>
      </c>
      <c r="J1" s="495" t="s">
        <v>577</v>
      </c>
      <c r="K1" s="445" t="s">
        <v>569</v>
      </c>
      <c r="L1" s="445"/>
      <c r="M1" s="494" t="s">
        <v>457</v>
      </c>
    </row>
    <row r="2" spans="1:16" x14ac:dyDescent="0.25">
      <c r="A2" s="494"/>
      <c r="B2" s="494"/>
      <c r="C2" s="497"/>
      <c r="D2" s="494"/>
      <c r="E2" s="498"/>
      <c r="F2" s="416" t="s">
        <v>465</v>
      </c>
      <c r="G2" s="416" t="s">
        <v>464</v>
      </c>
      <c r="H2" s="494"/>
      <c r="I2" s="494"/>
      <c r="J2" s="495"/>
      <c r="K2" s="416" t="s">
        <v>465</v>
      </c>
      <c r="L2" s="416" t="s">
        <v>464</v>
      </c>
      <c r="M2" s="494"/>
    </row>
    <row r="3" spans="1:16" x14ac:dyDescent="0.25">
      <c r="A3" t="s">
        <v>526</v>
      </c>
      <c r="B3" t="s">
        <v>571</v>
      </c>
      <c r="C3" t="s">
        <v>538</v>
      </c>
      <c r="D3">
        <v>150</v>
      </c>
      <c r="E3">
        <f>+D3-F3</f>
        <v>33</v>
      </c>
      <c r="F3">
        <v>117</v>
      </c>
      <c r="H3">
        <f>+F3</f>
        <v>117</v>
      </c>
      <c r="M3">
        <f>+K3</f>
        <v>0</v>
      </c>
      <c r="O3" s="16">
        <f>K4*100/I4</f>
        <v>56.81818181818182</v>
      </c>
      <c r="P3" s="430">
        <f>100-O3</f>
        <v>43.18181818181818</v>
      </c>
    </row>
    <row r="4" spans="1:16" x14ac:dyDescent="0.25">
      <c r="A4" t="s">
        <v>502</v>
      </c>
      <c r="B4" t="s">
        <v>572</v>
      </c>
      <c r="C4" t="s">
        <v>575</v>
      </c>
      <c r="G4">
        <v>60</v>
      </c>
      <c r="H4">
        <f>+H3+F4-G4</f>
        <v>57</v>
      </c>
      <c r="I4">
        <v>110</v>
      </c>
      <c r="J4">
        <f>+I4-K4</f>
        <v>47.5</v>
      </c>
      <c r="K4">
        <v>62.5</v>
      </c>
      <c r="M4">
        <f>+M3+K4-L4</f>
        <v>62.5</v>
      </c>
      <c r="O4" s="430">
        <f>23.5*100/O3</f>
        <v>41.36</v>
      </c>
      <c r="P4" s="16">
        <f>100*O5/O4</f>
        <v>43.18181818181818</v>
      </c>
    </row>
    <row r="5" spans="1:16" x14ac:dyDescent="0.25">
      <c r="A5" t="s">
        <v>502</v>
      </c>
      <c r="B5" t="s">
        <v>572</v>
      </c>
      <c r="C5" t="s">
        <v>68</v>
      </c>
      <c r="G5">
        <v>45</v>
      </c>
      <c r="H5">
        <f>+H4+F5-G5</f>
        <v>12</v>
      </c>
      <c r="L5">
        <v>39</v>
      </c>
      <c r="M5">
        <f>+M4+K5-L5</f>
        <v>23.5</v>
      </c>
      <c r="O5" s="430">
        <f>+O4-M6</f>
        <v>17.86</v>
      </c>
    </row>
    <row r="6" spans="1:16" x14ac:dyDescent="0.25">
      <c r="A6" t="s">
        <v>507</v>
      </c>
      <c r="B6" t="s">
        <v>571</v>
      </c>
      <c r="C6" t="s">
        <v>538</v>
      </c>
      <c r="D6">
        <v>295</v>
      </c>
      <c r="E6">
        <v>76</v>
      </c>
      <c r="F6">
        <f>+D6-E6</f>
        <v>219</v>
      </c>
      <c r="H6">
        <f t="shared" ref="H6:H16" si="0">+H5+F6-G6</f>
        <v>231</v>
      </c>
      <c r="M6">
        <f t="shared" ref="M6:M22" si="1">+M5+K6-L6</f>
        <v>23.5</v>
      </c>
    </row>
    <row r="7" spans="1:16" x14ac:dyDescent="0.25">
      <c r="A7" t="s">
        <v>576</v>
      </c>
      <c r="G7">
        <v>183</v>
      </c>
      <c r="H7">
        <f t="shared" si="0"/>
        <v>48</v>
      </c>
      <c r="I7">
        <v>330</v>
      </c>
      <c r="J7">
        <f>47+121.5</f>
        <v>168.5</v>
      </c>
      <c r="K7">
        <f>+I7-J7</f>
        <v>161.5</v>
      </c>
      <c r="M7">
        <f t="shared" si="1"/>
        <v>185</v>
      </c>
      <c r="O7" s="16">
        <f>K7*100/I7</f>
        <v>48.939393939393938</v>
      </c>
      <c r="P7" s="430">
        <f>100-O7</f>
        <v>51.060606060606062</v>
      </c>
    </row>
    <row r="8" spans="1:16" x14ac:dyDescent="0.25">
      <c r="A8" t="s">
        <v>578</v>
      </c>
      <c r="H8">
        <f t="shared" si="0"/>
        <v>48</v>
      </c>
      <c r="L8">
        <v>185</v>
      </c>
      <c r="M8">
        <f t="shared" si="1"/>
        <v>0</v>
      </c>
      <c r="O8" s="430">
        <f>K7*100/O7</f>
        <v>330</v>
      </c>
      <c r="P8" s="16">
        <f>100*O9/O8</f>
        <v>51.060606060606062</v>
      </c>
    </row>
    <row r="9" spans="1:16" x14ac:dyDescent="0.25">
      <c r="H9">
        <f t="shared" si="0"/>
        <v>48</v>
      </c>
      <c r="M9">
        <f t="shared" si="1"/>
        <v>0</v>
      </c>
      <c r="O9" s="430">
        <f>+O8-K7</f>
        <v>168.5</v>
      </c>
    </row>
    <row r="10" spans="1:16" x14ac:dyDescent="0.25">
      <c r="H10">
        <f t="shared" si="0"/>
        <v>48</v>
      </c>
      <c r="M10">
        <f t="shared" si="1"/>
        <v>0</v>
      </c>
    </row>
    <row r="11" spans="1:16" x14ac:dyDescent="0.25">
      <c r="H11">
        <f t="shared" si="0"/>
        <v>48</v>
      </c>
      <c r="M11">
        <f t="shared" si="1"/>
        <v>0</v>
      </c>
    </row>
    <row r="12" spans="1:16" x14ac:dyDescent="0.25">
      <c r="H12">
        <f t="shared" si="0"/>
        <v>48</v>
      </c>
      <c r="M12">
        <f t="shared" si="1"/>
        <v>0</v>
      </c>
    </row>
    <row r="13" spans="1:16" x14ac:dyDescent="0.25">
      <c r="H13">
        <f t="shared" si="0"/>
        <v>48</v>
      </c>
      <c r="M13">
        <f t="shared" si="1"/>
        <v>0</v>
      </c>
    </row>
    <row r="14" spans="1:16" x14ac:dyDescent="0.25">
      <c r="H14">
        <f t="shared" si="0"/>
        <v>48</v>
      </c>
      <c r="M14">
        <f t="shared" si="1"/>
        <v>0</v>
      </c>
    </row>
    <row r="15" spans="1:16" x14ac:dyDescent="0.25">
      <c r="H15">
        <f t="shared" si="0"/>
        <v>48</v>
      </c>
      <c r="M15">
        <f t="shared" si="1"/>
        <v>0</v>
      </c>
    </row>
    <row r="16" spans="1:16" x14ac:dyDescent="0.25">
      <c r="H16">
        <f t="shared" si="0"/>
        <v>48</v>
      </c>
      <c r="M16">
        <f t="shared" si="1"/>
        <v>0</v>
      </c>
    </row>
    <row r="17" spans="13:13" x14ac:dyDescent="0.25">
      <c r="M17">
        <f t="shared" si="1"/>
        <v>0</v>
      </c>
    </row>
    <row r="18" spans="13:13" x14ac:dyDescent="0.25">
      <c r="M18">
        <f t="shared" si="1"/>
        <v>0</v>
      </c>
    </row>
    <row r="19" spans="13:13" x14ac:dyDescent="0.25">
      <c r="M19">
        <f t="shared" si="1"/>
        <v>0</v>
      </c>
    </row>
    <row r="20" spans="13:13" x14ac:dyDescent="0.25">
      <c r="M20">
        <f t="shared" si="1"/>
        <v>0</v>
      </c>
    </row>
    <row r="21" spans="13:13" x14ac:dyDescent="0.25">
      <c r="M21">
        <f t="shared" si="1"/>
        <v>0</v>
      </c>
    </row>
    <row r="22" spans="13:13" x14ac:dyDescent="0.25">
      <c r="M22">
        <f t="shared" si="1"/>
        <v>0</v>
      </c>
    </row>
  </sheetData>
  <mergeCells count="11">
    <mergeCell ref="A1:A2"/>
    <mergeCell ref="B1:B2"/>
    <mergeCell ref="D1:D2"/>
    <mergeCell ref="E1:E2"/>
    <mergeCell ref="H1:H2"/>
    <mergeCell ref="I1:I2"/>
    <mergeCell ref="J1:J2"/>
    <mergeCell ref="K1:L1"/>
    <mergeCell ref="M1:M2"/>
    <mergeCell ref="C1:C2"/>
    <mergeCell ref="F1:G1"/>
  </mergeCells>
  <phoneticPr fontId="1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53E44-0D53-4423-A090-6A922127AFE0}">
  <dimension ref="A1:BD3"/>
  <sheetViews>
    <sheetView workbookViewId="0">
      <selection activeCell="Z23" sqref="Z23"/>
    </sheetView>
  </sheetViews>
  <sheetFormatPr defaultRowHeight="15" x14ac:dyDescent="0.25"/>
  <sheetData>
    <row r="1" spans="1:56" x14ac:dyDescent="0.25">
      <c r="A1" s="493" t="s">
        <v>473</v>
      </c>
      <c r="B1" s="490" t="s">
        <v>430</v>
      </c>
      <c r="C1" s="491"/>
      <c r="D1" s="491"/>
      <c r="E1" s="491"/>
      <c r="F1" s="491"/>
      <c r="G1" s="491"/>
      <c r="H1" s="491"/>
      <c r="I1" s="491"/>
      <c r="J1" s="491"/>
      <c r="K1" s="491"/>
      <c r="L1" s="492"/>
      <c r="M1" s="490" t="s">
        <v>16</v>
      </c>
      <c r="N1" s="491"/>
      <c r="O1" s="491"/>
      <c r="P1" s="491"/>
      <c r="Q1" s="491"/>
      <c r="R1" s="491"/>
      <c r="S1" s="491"/>
      <c r="T1" s="491"/>
      <c r="U1" s="491"/>
      <c r="V1" s="491"/>
      <c r="W1" s="492"/>
      <c r="X1" s="490" t="s">
        <v>178</v>
      </c>
      <c r="Y1" s="491"/>
      <c r="Z1" s="491"/>
      <c r="AA1" s="491"/>
      <c r="AB1" s="491"/>
      <c r="AC1" s="491"/>
      <c r="AD1" s="491"/>
      <c r="AE1" s="491"/>
      <c r="AF1" s="491"/>
      <c r="AG1" s="491"/>
      <c r="AH1" s="492"/>
      <c r="AI1" s="490" t="s">
        <v>486</v>
      </c>
      <c r="AJ1" s="491"/>
      <c r="AK1" s="491"/>
      <c r="AL1" s="491"/>
      <c r="AM1" s="491"/>
      <c r="AN1" s="491"/>
      <c r="AO1" s="491"/>
      <c r="AP1" s="491"/>
      <c r="AQ1" s="491"/>
      <c r="AR1" s="491"/>
      <c r="AS1" s="492"/>
      <c r="AT1" s="490" t="s">
        <v>484</v>
      </c>
      <c r="AU1" s="491"/>
      <c r="AV1" s="491"/>
      <c r="AW1" s="491"/>
      <c r="AX1" s="491"/>
      <c r="AY1" s="491"/>
      <c r="AZ1" s="491"/>
      <c r="BA1" s="491"/>
      <c r="BB1" s="491"/>
      <c r="BC1" s="491"/>
      <c r="BD1" s="492"/>
    </row>
    <row r="2" spans="1:56" x14ac:dyDescent="0.25">
      <c r="A2" s="493"/>
      <c r="B2" s="490" t="s">
        <v>474</v>
      </c>
      <c r="C2" s="491"/>
      <c r="D2" s="491"/>
      <c r="E2" s="492"/>
      <c r="F2" s="490" t="s">
        <v>475</v>
      </c>
      <c r="G2" s="491"/>
      <c r="H2" s="491"/>
      <c r="I2" s="492"/>
      <c r="J2" s="490" t="s">
        <v>478</v>
      </c>
      <c r="K2" s="491"/>
      <c r="L2" s="492"/>
      <c r="M2" s="490" t="s">
        <v>474</v>
      </c>
      <c r="N2" s="491"/>
      <c r="O2" s="491"/>
      <c r="P2" s="492"/>
      <c r="Q2" s="490" t="s">
        <v>475</v>
      </c>
      <c r="R2" s="491"/>
      <c r="S2" s="491"/>
      <c r="T2" s="492"/>
      <c r="U2" s="490" t="s">
        <v>478</v>
      </c>
      <c r="V2" s="491"/>
      <c r="W2" s="492"/>
      <c r="X2" s="490" t="s">
        <v>474</v>
      </c>
      <c r="Y2" s="491"/>
      <c r="Z2" s="491"/>
      <c r="AA2" s="492"/>
      <c r="AB2" s="490" t="s">
        <v>475</v>
      </c>
      <c r="AC2" s="491"/>
      <c r="AD2" s="491"/>
      <c r="AE2" s="492"/>
      <c r="AF2" s="490" t="s">
        <v>478</v>
      </c>
      <c r="AG2" s="491"/>
      <c r="AH2" s="492"/>
      <c r="AI2" s="490" t="s">
        <v>474</v>
      </c>
      <c r="AJ2" s="491"/>
      <c r="AK2" s="491"/>
      <c r="AL2" s="492"/>
      <c r="AM2" s="490" t="s">
        <v>475</v>
      </c>
      <c r="AN2" s="491"/>
      <c r="AO2" s="491"/>
      <c r="AP2" s="492"/>
      <c r="AQ2" s="490" t="s">
        <v>478</v>
      </c>
      <c r="AR2" s="491"/>
      <c r="AS2" s="492"/>
      <c r="AT2" s="490" t="s">
        <v>474</v>
      </c>
      <c r="AU2" s="491"/>
      <c r="AV2" s="491"/>
      <c r="AW2" s="492"/>
      <c r="AX2" s="490" t="s">
        <v>475</v>
      </c>
      <c r="AY2" s="491"/>
      <c r="AZ2" s="491"/>
      <c r="BA2" s="492"/>
      <c r="BB2" s="490" t="s">
        <v>478</v>
      </c>
      <c r="BC2" s="491"/>
      <c r="BD2" s="492"/>
    </row>
    <row r="3" spans="1:56" x14ac:dyDescent="0.25">
      <c r="A3" s="493"/>
      <c r="B3" s="268" t="s">
        <v>180</v>
      </c>
      <c r="C3" s="192" t="s">
        <v>436</v>
      </c>
      <c r="D3" s="276" t="s">
        <v>480</v>
      </c>
      <c r="E3" s="276" t="s">
        <v>481</v>
      </c>
      <c r="F3" s="268" t="s">
        <v>180</v>
      </c>
      <c r="G3" s="192" t="s">
        <v>436</v>
      </c>
      <c r="H3" s="276" t="s">
        <v>480</v>
      </c>
      <c r="I3" s="276" t="s">
        <v>481</v>
      </c>
      <c r="J3" s="192" t="s">
        <v>180</v>
      </c>
      <c r="K3" s="192" t="s">
        <v>482</v>
      </c>
      <c r="L3" s="192" t="s">
        <v>481</v>
      </c>
      <c r="M3" s="268" t="s">
        <v>180</v>
      </c>
      <c r="N3" s="192" t="s">
        <v>436</v>
      </c>
      <c r="O3" s="192" t="s">
        <v>480</v>
      </c>
      <c r="P3" s="192" t="s">
        <v>481</v>
      </c>
      <c r="Q3" s="268" t="s">
        <v>180</v>
      </c>
      <c r="R3" s="192" t="s">
        <v>436</v>
      </c>
      <c r="S3" s="192" t="s">
        <v>480</v>
      </c>
      <c r="T3" s="192" t="s">
        <v>481</v>
      </c>
      <c r="U3" s="192" t="s">
        <v>180</v>
      </c>
      <c r="V3" s="192" t="s">
        <v>482</v>
      </c>
      <c r="W3" s="192" t="s">
        <v>481</v>
      </c>
      <c r="X3" s="268" t="s">
        <v>180</v>
      </c>
      <c r="Y3" s="192" t="s">
        <v>436</v>
      </c>
      <c r="Z3" s="192" t="s">
        <v>480</v>
      </c>
      <c r="AA3" s="270" t="s">
        <v>481</v>
      </c>
      <c r="AB3" s="268" t="s">
        <v>180</v>
      </c>
      <c r="AC3" s="192" t="s">
        <v>436</v>
      </c>
      <c r="AD3" s="192" t="s">
        <v>480</v>
      </c>
      <c r="AE3" s="192" t="s">
        <v>481</v>
      </c>
      <c r="AF3" s="192" t="s">
        <v>180</v>
      </c>
      <c r="AG3" s="192" t="s">
        <v>482</v>
      </c>
      <c r="AH3" s="192" t="s">
        <v>481</v>
      </c>
      <c r="AI3" s="268" t="s">
        <v>180</v>
      </c>
      <c r="AJ3" s="192" t="s">
        <v>436</v>
      </c>
      <c r="AK3" s="276" t="s">
        <v>480</v>
      </c>
      <c r="AL3" s="276" t="s">
        <v>481</v>
      </c>
      <c r="AM3" s="268" t="s">
        <v>180</v>
      </c>
      <c r="AN3" s="192" t="s">
        <v>436</v>
      </c>
      <c r="AO3" s="192" t="s">
        <v>480</v>
      </c>
      <c r="AP3" s="192" t="s">
        <v>481</v>
      </c>
      <c r="AQ3" s="192" t="s">
        <v>180</v>
      </c>
      <c r="AR3" s="192" t="s">
        <v>482</v>
      </c>
      <c r="AS3" s="192" t="s">
        <v>481</v>
      </c>
      <c r="AT3" s="268" t="s">
        <v>180</v>
      </c>
      <c r="AU3" s="192" t="s">
        <v>436</v>
      </c>
      <c r="AV3" s="276" t="s">
        <v>480</v>
      </c>
      <c r="AW3" s="276" t="s">
        <v>481</v>
      </c>
      <c r="AX3" s="268" t="s">
        <v>180</v>
      </c>
      <c r="AY3" s="192" t="s">
        <v>436</v>
      </c>
      <c r="AZ3" s="192" t="s">
        <v>480</v>
      </c>
      <c r="BA3" s="192" t="s">
        <v>481</v>
      </c>
      <c r="BB3" s="192" t="s">
        <v>180</v>
      </c>
      <c r="BC3" s="192" t="s">
        <v>482</v>
      </c>
      <c r="BD3" s="192" t="s">
        <v>481</v>
      </c>
    </row>
  </sheetData>
  <mergeCells count="21">
    <mergeCell ref="AT1:BD1"/>
    <mergeCell ref="B2:E2"/>
    <mergeCell ref="F2:I2"/>
    <mergeCell ref="J2:L2"/>
    <mergeCell ref="M2:P2"/>
    <mergeCell ref="AI2:AL2"/>
    <mergeCell ref="AT2:AW2"/>
    <mergeCell ref="AX2:BA2"/>
    <mergeCell ref="BB2:BD2"/>
    <mergeCell ref="A1:A3"/>
    <mergeCell ref="B1:L1"/>
    <mergeCell ref="M1:W1"/>
    <mergeCell ref="X1:AH1"/>
    <mergeCell ref="AI1:AS1"/>
    <mergeCell ref="Q2:T2"/>
    <mergeCell ref="U2:W2"/>
    <mergeCell ref="X2:AA2"/>
    <mergeCell ref="AB2:AE2"/>
    <mergeCell ref="AF2:AH2"/>
    <mergeCell ref="AM2:AP2"/>
    <mergeCell ref="AQ2:AS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A814E-4AA7-4F9D-8E32-5F8660262DCA}">
  <dimension ref="A1:CH19"/>
  <sheetViews>
    <sheetView workbookViewId="0">
      <pane xSplit="14" ySplit="25" topLeftCell="AS26" activePane="bottomRight" state="frozen"/>
      <selection pane="topRight" activeCell="O1" sqref="O1"/>
      <selection pane="bottomLeft" activeCell="A26" sqref="A26"/>
      <selection pane="bottomRight" activeCell="AX8" sqref="AX8"/>
    </sheetView>
  </sheetViews>
  <sheetFormatPr defaultRowHeight="11.25" x14ac:dyDescent="0.2"/>
  <cols>
    <col min="1" max="1" width="9.140625" style="342"/>
    <col min="2" max="2" width="9.28515625" style="347" bestFit="1" customWidth="1"/>
    <col min="3" max="4" width="9.140625" style="347"/>
    <col min="5" max="7" width="9.28515625" style="347" bestFit="1" customWidth="1"/>
    <col min="8" max="10" width="9.140625" style="347"/>
    <col min="11" max="11" width="9.28515625" style="347" bestFit="1" customWidth="1"/>
    <col min="12" max="14" width="9.140625" style="347"/>
    <col min="15" max="16" width="11" style="347" bestFit="1" customWidth="1"/>
    <col min="17" max="17" width="9.28515625" style="347" bestFit="1" customWidth="1"/>
    <col min="18" max="20" width="9.140625" style="347"/>
    <col min="21" max="22" width="9.28515625" style="347" bestFit="1" customWidth="1"/>
    <col min="23" max="25" width="9.140625" style="347"/>
    <col min="26" max="27" width="9.28515625" style="347" bestFit="1" customWidth="1"/>
    <col min="28" max="30" width="9.140625" style="347"/>
    <col min="31" max="32" width="9.28515625" style="347" bestFit="1" customWidth="1"/>
    <col min="33" max="34" width="9.140625" style="347"/>
    <col min="35" max="37" width="9.28515625" style="347" bestFit="1" customWidth="1"/>
    <col min="38" max="40" width="9.140625" style="347"/>
    <col min="41" max="41" width="9.28515625" style="347" bestFit="1" customWidth="1"/>
    <col min="42" max="45" width="9.140625" style="347"/>
    <col min="46" max="48" width="9.28515625" style="347" bestFit="1" customWidth="1"/>
    <col min="49" max="49" width="10.85546875" style="347" bestFit="1" customWidth="1"/>
    <col min="50" max="51" width="11" style="347" bestFit="1" customWidth="1"/>
    <col min="52" max="53" width="9.28515625" style="347" bestFit="1" customWidth="1"/>
    <col min="54" max="54" width="10.85546875" style="347" bestFit="1" customWidth="1"/>
    <col min="55" max="56" width="11" style="347" bestFit="1" customWidth="1"/>
    <col min="57" max="58" width="9.28515625" style="347" bestFit="1" customWidth="1"/>
    <col min="59" max="59" width="10.85546875" style="347" bestFit="1" customWidth="1"/>
    <col min="60" max="63" width="9.28515625" style="347" bestFit="1" customWidth="1"/>
    <col min="64" max="64" width="10.85546875" style="347" bestFit="1" customWidth="1"/>
    <col min="65" max="68" width="9.28515625" style="347" bestFit="1" customWidth="1"/>
    <col min="69" max="69" width="9.7109375" style="347" bestFit="1" customWidth="1"/>
    <col min="70" max="70" width="9.140625" style="347"/>
    <col min="71" max="73" width="9.28515625" style="347" bestFit="1" customWidth="1"/>
    <col min="74" max="74" width="9.7109375" style="347" bestFit="1" customWidth="1"/>
    <col min="75" max="75" width="9.140625" style="347"/>
    <col min="76" max="78" width="9.28515625" style="347" bestFit="1" customWidth="1"/>
    <col min="79" max="79" width="9.7109375" style="347" bestFit="1" customWidth="1"/>
    <col min="80" max="80" width="9.140625" style="347"/>
    <col min="81" max="83" width="9.28515625" style="347" bestFit="1" customWidth="1"/>
    <col min="84" max="84" width="9.7109375" style="347" bestFit="1" customWidth="1"/>
    <col min="85" max="85" width="9.140625" style="347"/>
    <col min="86" max="86" width="9.28515625" style="347" bestFit="1" customWidth="1"/>
    <col min="87" max="16384" width="9.140625" style="342"/>
  </cols>
  <sheetData>
    <row r="1" spans="1:86" x14ac:dyDescent="0.2">
      <c r="A1" s="478" t="s">
        <v>407</v>
      </c>
      <c r="B1" s="499" t="s">
        <v>490</v>
      </c>
      <c r="C1" s="499"/>
      <c r="D1" s="499"/>
      <c r="E1" s="499"/>
      <c r="F1" s="499"/>
      <c r="G1" s="499" t="s">
        <v>506</v>
      </c>
      <c r="H1" s="499"/>
      <c r="I1" s="499"/>
      <c r="J1" s="499"/>
      <c r="K1" s="499"/>
      <c r="L1" s="499" t="s">
        <v>504</v>
      </c>
      <c r="M1" s="499"/>
      <c r="N1" s="499"/>
      <c r="O1" s="499"/>
      <c r="P1" s="499"/>
      <c r="Q1" s="500" t="s">
        <v>491</v>
      </c>
      <c r="R1" s="501"/>
      <c r="S1" s="501"/>
      <c r="T1" s="501"/>
      <c r="U1" s="502"/>
      <c r="V1" s="500" t="s">
        <v>492</v>
      </c>
      <c r="W1" s="501"/>
      <c r="X1" s="501"/>
      <c r="Y1" s="501"/>
      <c r="Z1" s="502"/>
      <c r="AA1" s="500" t="s">
        <v>493</v>
      </c>
      <c r="AB1" s="501"/>
      <c r="AC1" s="501"/>
      <c r="AD1" s="501"/>
      <c r="AE1" s="502"/>
      <c r="AF1" s="499" t="s">
        <v>494</v>
      </c>
      <c r="AG1" s="499"/>
      <c r="AH1" s="499"/>
      <c r="AI1" s="499"/>
      <c r="AJ1" s="499"/>
      <c r="AK1" s="499" t="s">
        <v>495</v>
      </c>
      <c r="AL1" s="499"/>
      <c r="AM1" s="499"/>
      <c r="AN1" s="499"/>
      <c r="AO1" s="499"/>
      <c r="AP1" s="499" t="s">
        <v>505</v>
      </c>
      <c r="AQ1" s="499"/>
      <c r="AR1" s="499"/>
      <c r="AS1" s="499"/>
      <c r="AT1" s="499"/>
      <c r="AU1" s="499" t="s">
        <v>508</v>
      </c>
      <c r="AV1" s="499"/>
      <c r="AW1" s="499"/>
      <c r="AX1" s="499"/>
      <c r="AY1" s="499"/>
      <c r="AZ1" s="499" t="s">
        <v>511</v>
      </c>
      <c r="BA1" s="499"/>
      <c r="BB1" s="499"/>
      <c r="BC1" s="499"/>
      <c r="BD1" s="499"/>
      <c r="BE1" s="499" t="s">
        <v>509</v>
      </c>
      <c r="BF1" s="499"/>
      <c r="BG1" s="499"/>
      <c r="BH1" s="499"/>
      <c r="BI1" s="499"/>
      <c r="BJ1" s="499" t="s">
        <v>510</v>
      </c>
      <c r="BK1" s="499"/>
      <c r="BL1" s="499"/>
      <c r="BM1" s="499"/>
      <c r="BN1" s="499"/>
      <c r="BO1" s="500" t="s">
        <v>496</v>
      </c>
      <c r="BP1" s="501"/>
      <c r="BQ1" s="501"/>
      <c r="BR1" s="501"/>
      <c r="BS1" s="502"/>
      <c r="BT1" s="499" t="s">
        <v>497</v>
      </c>
      <c r="BU1" s="499"/>
      <c r="BV1" s="499"/>
      <c r="BW1" s="499"/>
      <c r="BX1" s="499"/>
      <c r="BY1" s="499" t="s">
        <v>498</v>
      </c>
      <c r="BZ1" s="499"/>
      <c r="CA1" s="499"/>
      <c r="CB1" s="499"/>
      <c r="CC1" s="499"/>
      <c r="CD1" s="499" t="s">
        <v>499</v>
      </c>
      <c r="CE1" s="499"/>
      <c r="CF1" s="499"/>
      <c r="CG1" s="499"/>
      <c r="CH1" s="499"/>
    </row>
    <row r="2" spans="1:86" ht="15" customHeight="1" x14ac:dyDescent="0.2">
      <c r="A2" s="503"/>
      <c r="B2" s="349" t="s">
        <v>465</v>
      </c>
      <c r="C2" s="349" t="s">
        <v>480</v>
      </c>
      <c r="D2" s="349" t="s">
        <v>481</v>
      </c>
      <c r="E2" s="349" t="s">
        <v>500</v>
      </c>
      <c r="F2" s="349" t="s">
        <v>457</v>
      </c>
      <c r="G2" s="349" t="s">
        <v>465</v>
      </c>
      <c r="H2" s="349" t="s">
        <v>480</v>
      </c>
      <c r="I2" s="349" t="s">
        <v>481</v>
      </c>
      <c r="J2" s="349" t="s">
        <v>500</v>
      </c>
      <c r="K2" s="349" t="s">
        <v>457</v>
      </c>
      <c r="L2" s="349" t="s">
        <v>465</v>
      </c>
      <c r="M2" s="349" t="s">
        <v>480</v>
      </c>
      <c r="N2" s="349" t="s">
        <v>481</v>
      </c>
      <c r="O2" s="349" t="s">
        <v>500</v>
      </c>
      <c r="P2" s="349" t="s">
        <v>457</v>
      </c>
      <c r="Q2" s="349" t="s">
        <v>465</v>
      </c>
      <c r="R2" s="349" t="s">
        <v>480</v>
      </c>
      <c r="S2" s="349" t="s">
        <v>481</v>
      </c>
      <c r="T2" s="349" t="s">
        <v>500</v>
      </c>
      <c r="U2" s="349" t="s">
        <v>457</v>
      </c>
      <c r="V2" s="349" t="s">
        <v>465</v>
      </c>
      <c r="W2" s="349" t="s">
        <v>480</v>
      </c>
      <c r="X2" s="349" t="s">
        <v>481</v>
      </c>
      <c r="Y2" s="349" t="s">
        <v>500</v>
      </c>
      <c r="Z2" s="349" t="s">
        <v>457</v>
      </c>
      <c r="AA2" s="349" t="s">
        <v>465</v>
      </c>
      <c r="AB2" s="349" t="s">
        <v>480</v>
      </c>
      <c r="AC2" s="349" t="s">
        <v>481</v>
      </c>
      <c r="AD2" s="349" t="s">
        <v>500</v>
      </c>
      <c r="AE2" s="349" t="s">
        <v>457</v>
      </c>
      <c r="AF2" s="349" t="s">
        <v>465</v>
      </c>
      <c r="AG2" s="349" t="s">
        <v>480</v>
      </c>
      <c r="AH2" s="349" t="s">
        <v>481</v>
      </c>
      <c r="AI2" s="349" t="s">
        <v>500</v>
      </c>
      <c r="AJ2" s="349" t="s">
        <v>457</v>
      </c>
      <c r="AK2" s="349" t="s">
        <v>465</v>
      </c>
      <c r="AL2" s="349" t="s">
        <v>480</v>
      </c>
      <c r="AM2" s="349" t="s">
        <v>481</v>
      </c>
      <c r="AN2" s="349" t="s">
        <v>500</v>
      </c>
      <c r="AO2" s="349" t="s">
        <v>457</v>
      </c>
      <c r="AP2" s="349" t="s">
        <v>465</v>
      </c>
      <c r="AQ2" s="349" t="s">
        <v>480</v>
      </c>
      <c r="AR2" s="349" t="s">
        <v>481</v>
      </c>
      <c r="AS2" s="349" t="s">
        <v>500</v>
      </c>
      <c r="AT2" s="349" t="s">
        <v>457</v>
      </c>
      <c r="AU2" s="349" t="s">
        <v>465</v>
      </c>
      <c r="AV2" s="349" t="s">
        <v>480</v>
      </c>
      <c r="AW2" s="349" t="s">
        <v>481</v>
      </c>
      <c r="AX2" s="349" t="s">
        <v>500</v>
      </c>
      <c r="AY2" s="349" t="s">
        <v>457</v>
      </c>
      <c r="AZ2" s="349" t="s">
        <v>465</v>
      </c>
      <c r="BA2" s="349" t="s">
        <v>480</v>
      </c>
      <c r="BB2" s="349" t="s">
        <v>481</v>
      </c>
      <c r="BC2" s="349" t="s">
        <v>500</v>
      </c>
      <c r="BD2" s="349" t="s">
        <v>457</v>
      </c>
      <c r="BE2" s="349" t="s">
        <v>465</v>
      </c>
      <c r="BF2" s="349" t="s">
        <v>480</v>
      </c>
      <c r="BG2" s="349" t="s">
        <v>481</v>
      </c>
      <c r="BH2" s="349" t="s">
        <v>500</v>
      </c>
      <c r="BI2" s="349" t="s">
        <v>457</v>
      </c>
      <c r="BJ2" s="349" t="s">
        <v>465</v>
      </c>
      <c r="BK2" s="349" t="s">
        <v>480</v>
      </c>
      <c r="BL2" s="349" t="s">
        <v>481</v>
      </c>
      <c r="BM2" s="349" t="s">
        <v>500</v>
      </c>
      <c r="BN2" s="349" t="s">
        <v>457</v>
      </c>
      <c r="BO2" s="350" t="s">
        <v>465</v>
      </c>
      <c r="BP2" s="349" t="s">
        <v>480</v>
      </c>
      <c r="BQ2" s="349" t="s">
        <v>481</v>
      </c>
      <c r="BR2" s="350" t="s">
        <v>500</v>
      </c>
      <c r="BS2" s="350" t="s">
        <v>457</v>
      </c>
      <c r="BT2" s="350" t="s">
        <v>465</v>
      </c>
      <c r="BU2" s="349" t="s">
        <v>480</v>
      </c>
      <c r="BV2" s="349" t="s">
        <v>481</v>
      </c>
      <c r="BW2" s="350" t="s">
        <v>500</v>
      </c>
      <c r="BX2" s="350" t="s">
        <v>457</v>
      </c>
      <c r="BY2" s="350" t="s">
        <v>465</v>
      </c>
      <c r="BZ2" s="349" t="s">
        <v>480</v>
      </c>
      <c r="CA2" s="349" t="s">
        <v>481</v>
      </c>
      <c r="CB2" s="350" t="s">
        <v>500</v>
      </c>
      <c r="CC2" s="350" t="s">
        <v>457</v>
      </c>
      <c r="CD2" s="350" t="s">
        <v>465</v>
      </c>
      <c r="CE2" s="350" t="s">
        <v>480</v>
      </c>
      <c r="CF2" s="350" t="s">
        <v>481</v>
      </c>
      <c r="CG2" s="350" t="s">
        <v>500</v>
      </c>
      <c r="CH2" s="350" t="s">
        <v>457</v>
      </c>
    </row>
    <row r="3" spans="1:86" x14ac:dyDescent="0.2">
      <c r="A3" s="343" t="s">
        <v>501</v>
      </c>
      <c r="B3" s="348">
        <v>10120</v>
      </c>
      <c r="C3" s="348">
        <v>650</v>
      </c>
      <c r="D3" s="348">
        <f>+B3*C3</f>
        <v>6578000</v>
      </c>
      <c r="E3" s="348"/>
      <c r="F3" s="348">
        <f>+B3-E3</f>
        <v>10120</v>
      </c>
      <c r="G3" s="348"/>
      <c r="H3" s="348"/>
      <c r="I3" s="348"/>
      <c r="J3" s="348"/>
      <c r="K3" s="348">
        <f>+G3-J3</f>
        <v>0</v>
      </c>
      <c r="L3" s="348"/>
      <c r="M3" s="348"/>
      <c r="N3" s="348"/>
      <c r="O3" s="348"/>
      <c r="P3" s="348">
        <f>+L3-O3</f>
        <v>0</v>
      </c>
      <c r="Q3" s="348">
        <v>8424</v>
      </c>
      <c r="R3" s="348">
        <v>245</v>
      </c>
      <c r="S3" s="348">
        <f>+Q3*R3</f>
        <v>2063880</v>
      </c>
      <c r="T3" s="348">
        <f>603+550</f>
        <v>1153</v>
      </c>
      <c r="U3" s="348">
        <f>+Q3-T3</f>
        <v>7271</v>
      </c>
      <c r="V3" s="348">
        <v>10925</v>
      </c>
      <c r="W3" s="348">
        <v>245</v>
      </c>
      <c r="X3" s="348">
        <f>+V3*W3</f>
        <v>2676625</v>
      </c>
      <c r="Y3" s="348">
        <f>602+2261</f>
        <v>2863</v>
      </c>
      <c r="Z3" s="348">
        <f>+V3-Y3</f>
        <v>8062</v>
      </c>
      <c r="AA3" s="348">
        <v>10820</v>
      </c>
      <c r="AB3" s="348">
        <v>245</v>
      </c>
      <c r="AC3" s="348">
        <f>+AA3*AB3</f>
        <v>2650900</v>
      </c>
      <c r="AD3" s="348">
        <f>770+480</f>
        <v>1250</v>
      </c>
      <c r="AE3" s="348">
        <f>+AA3-AD3</f>
        <v>9570</v>
      </c>
      <c r="AF3" s="348">
        <v>10845</v>
      </c>
      <c r="AG3" s="348">
        <v>245</v>
      </c>
      <c r="AH3" s="348">
        <f>+AF3*AG3</f>
        <v>2657025</v>
      </c>
      <c r="AI3" s="348">
        <v>986</v>
      </c>
      <c r="AJ3" s="348">
        <f>+AF3-AI3</f>
        <v>9859</v>
      </c>
      <c r="AK3" s="348">
        <v>5000</v>
      </c>
      <c r="AL3" s="348">
        <v>1750</v>
      </c>
      <c r="AM3" s="348">
        <f>+AL3*AK3</f>
        <v>8750000</v>
      </c>
      <c r="AN3" s="348">
        <v>834</v>
      </c>
      <c r="AO3" s="348">
        <f>+AK3-AN3</f>
        <v>4166</v>
      </c>
      <c r="AP3" s="348"/>
      <c r="AQ3" s="348"/>
      <c r="AR3" s="348"/>
      <c r="AS3" s="348"/>
      <c r="AT3" s="348">
        <f>+AP3-AS3</f>
        <v>0</v>
      </c>
      <c r="AU3" s="348"/>
      <c r="AV3" s="348"/>
      <c r="AW3" s="348"/>
      <c r="AX3" s="348"/>
      <c r="AY3" s="348">
        <f>++AU3-AX3</f>
        <v>0</v>
      </c>
      <c r="AZ3" s="348"/>
      <c r="BA3" s="348"/>
      <c r="BB3" s="348"/>
      <c r="BC3" s="348"/>
      <c r="BD3" s="348">
        <f>++AZ3-BC3</f>
        <v>0</v>
      </c>
      <c r="BE3" s="348"/>
      <c r="BF3" s="348"/>
      <c r="BG3" s="348"/>
      <c r="BH3" s="348"/>
      <c r="BI3" s="351">
        <f>+BE3-BH3</f>
        <v>0</v>
      </c>
      <c r="BJ3" s="348"/>
      <c r="BK3" s="348"/>
      <c r="BL3" s="348"/>
      <c r="BM3" s="348"/>
      <c r="BN3" s="351">
        <f>+BJ3-BM3</f>
        <v>0</v>
      </c>
      <c r="BO3" s="348">
        <f>245+17</f>
        <v>262</v>
      </c>
      <c r="BP3" s="348">
        <v>150</v>
      </c>
      <c r="BQ3" s="348">
        <f>+BO3*BP3</f>
        <v>39300</v>
      </c>
      <c r="BR3" s="348"/>
      <c r="BS3" s="348">
        <f>+BO3</f>
        <v>262</v>
      </c>
      <c r="BT3" s="348">
        <f>219+17</f>
        <v>236</v>
      </c>
      <c r="BU3" s="348">
        <v>330</v>
      </c>
      <c r="BV3" s="348">
        <f>+BT3*BU3</f>
        <v>77880</v>
      </c>
      <c r="BW3" s="348"/>
      <c r="BX3" s="348">
        <f>+BS3</f>
        <v>262</v>
      </c>
      <c r="BY3" s="348">
        <v>35</v>
      </c>
      <c r="BZ3" s="348">
        <v>150</v>
      </c>
      <c r="CA3" s="348">
        <f>+BY3*BZ3</f>
        <v>5250</v>
      </c>
      <c r="CB3" s="348"/>
      <c r="CC3" s="348">
        <f>+BY3</f>
        <v>35</v>
      </c>
      <c r="CD3" s="348">
        <v>35</v>
      </c>
      <c r="CE3" s="348">
        <v>330</v>
      </c>
      <c r="CF3" s="348">
        <f>+CE3*CD3</f>
        <v>11550</v>
      </c>
      <c r="CG3" s="348"/>
      <c r="CH3" s="348">
        <f>+CD3</f>
        <v>35</v>
      </c>
    </row>
    <row r="4" spans="1:86" x14ac:dyDescent="0.2">
      <c r="A4" s="344" t="s">
        <v>502</v>
      </c>
      <c r="B4" s="345"/>
      <c r="C4" s="345"/>
      <c r="D4" s="345"/>
      <c r="E4" s="345">
        <v>2201</v>
      </c>
      <c r="F4" s="345">
        <f>+F3-E4</f>
        <v>7919</v>
      </c>
      <c r="G4" s="345"/>
      <c r="H4" s="345"/>
      <c r="I4" s="345"/>
      <c r="J4" s="345"/>
      <c r="K4" s="345">
        <v>0</v>
      </c>
      <c r="L4" s="345"/>
      <c r="M4" s="345"/>
      <c r="N4" s="345"/>
      <c r="O4" s="345">
        <v>6</v>
      </c>
      <c r="P4" s="345">
        <f>215-O4</f>
        <v>209</v>
      </c>
      <c r="Q4" s="345"/>
      <c r="R4" s="345"/>
      <c r="S4" s="345"/>
      <c r="T4" s="345"/>
      <c r="U4" s="345">
        <f>+U3+Q4-T4</f>
        <v>7271</v>
      </c>
      <c r="V4" s="345"/>
      <c r="W4" s="345"/>
      <c r="X4" s="345"/>
      <c r="Y4" s="345"/>
      <c r="Z4" s="345">
        <f>+Z3+V4-Y4</f>
        <v>8062</v>
      </c>
      <c r="AA4" s="345"/>
      <c r="AB4" s="345"/>
      <c r="AC4" s="345"/>
      <c r="AD4" s="345"/>
      <c r="AE4" s="345">
        <f>+AE3+AA4-AD4</f>
        <v>9570</v>
      </c>
      <c r="AF4" s="345"/>
      <c r="AG4" s="345"/>
      <c r="AH4" s="345"/>
      <c r="AI4" s="345"/>
      <c r="AJ4" s="345">
        <f>+AJ3+AF4-AI4</f>
        <v>9859</v>
      </c>
      <c r="AK4" s="345"/>
      <c r="AL4" s="345"/>
      <c r="AM4" s="345"/>
      <c r="AN4" s="345"/>
      <c r="AO4" s="345">
        <f>+AO3+AK4-AN4</f>
        <v>4166</v>
      </c>
      <c r="AP4" s="345"/>
      <c r="AQ4" s="345"/>
      <c r="AR4" s="345"/>
      <c r="AS4" s="345"/>
      <c r="AT4" s="345">
        <f>+AT3+AP4-AS4</f>
        <v>0</v>
      </c>
      <c r="AU4" s="345"/>
      <c r="AV4" s="345"/>
      <c r="AW4" s="345"/>
      <c r="AX4" s="345"/>
      <c r="AY4" s="345">
        <f>+AY3+AU4-AX4</f>
        <v>0</v>
      </c>
      <c r="AZ4" s="345"/>
      <c r="BA4" s="345"/>
      <c r="BB4" s="345"/>
      <c r="BC4" s="345"/>
      <c r="BD4" s="345">
        <f>+BD3+AZ4-BC4</f>
        <v>0</v>
      </c>
      <c r="BE4" s="345"/>
      <c r="BF4" s="345"/>
      <c r="BG4" s="345"/>
      <c r="BH4" s="345"/>
      <c r="BI4" s="352">
        <f>+BI3+BE4-BH4</f>
        <v>0</v>
      </c>
      <c r="BJ4" s="345"/>
      <c r="BK4" s="345"/>
      <c r="BL4" s="345"/>
      <c r="BM4" s="345"/>
      <c r="BN4" s="352">
        <f>+BN3+BJ4-BM4</f>
        <v>0</v>
      </c>
      <c r="BO4" s="345">
        <v>1000</v>
      </c>
      <c r="BP4" s="345">
        <v>100</v>
      </c>
      <c r="BQ4" s="345">
        <f>+BO4*BP4</f>
        <v>100000</v>
      </c>
      <c r="BR4" s="345"/>
      <c r="BS4" s="345">
        <f>+BO4+BS3</f>
        <v>1262</v>
      </c>
      <c r="BT4" s="345">
        <v>1000</v>
      </c>
      <c r="BU4" s="345">
        <v>280</v>
      </c>
      <c r="BV4" s="345">
        <f>+BT4*BU4</f>
        <v>280000</v>
      </c>
      <c r="BW4" s="345"/>
      <c r="BX4" s="345">
        <f>+BT4+BX3</f>
        <v>1262</v>
      </c>
      <c r="BY4" s="345">
        <v>1000</v>
      </c>
      <c r="BZ4" s="345">
        <v>100</v>
      </c>
      <c r="CA4" s="345">
        <f>+BY4*BZ4</f>
        <v>100000</v>
      </c>
      <c r="CB4" s="345"/>
      <c r="CC4" s="345">
        <f>+BY4+CC3</f>
        <v>1035</v>
      </c>
      <c r="CD4" s="345">
        <v>1000</v>
      </c>
      <c r="CE4" s="345">
        <v>280</v>
      </c>
      <c r="CF4" s="345">
        <f>+CD4*CE4</f>
        <v>280000</v>
      </c>
      <c r="CG4" s="345"/>
      <c r="CH4" s="345">
        <f>+CD4+CH3</f>
        <v>1035</v>
      </c>
    </row>
    <row r="5" spans="1:86" x14ac:dyDescent="0.2">
      <c r="A5" s="343" t="s">
        <v>502</v>
      </c>
      <c r="B5" s="348"/>
      <c r="C5" s="348"/>
      <c r="D5" s="348"/>
      <c r="E5" s="348">
        <v>380</v>
      </c>
      <c r="F5" s="348">
        <f>+F4+B5-E5</f>
        <v>7539</v>
      </c>
      <c r="G5" s="348"/>
      <c r="H5" s="348"/>
      <c r="I5" s="348"/>
      <c r="J5" s="348"/>
      <c r="K5" s="348">
        <f>+K4+G5-J5</f>
        <v>0</v>
      </c>
      <c r="L5" s="348"/>
      <c r="M5" s="348"/>
      <c r="N5" s="348"/>
      <c r="O5" s="348">
        <v>209</v>
      </c>
      <c r="P5" s="348">
        <f>+P4+L5-O5</f>
        <v>0</v>
      </c>
      <c r="Q5" s="348"/>
      <c r="R5" s="348"/>
      <c r="S5" s="348"/>
      <c r="T5" s="348"/>
      <c r="U5" s="348">
        <f>+U4+Q5-T5</f>
        <v>7271</v>
      </c>
      <c r="V5" s="348"/>
      <c r="W5" s="348"/>
      <c r="X5" s="348"/>
      <c r="Y5" s="348"/>
      <c r="Z5" s="348">
        <f>+Z4+V5-Y5</f>
        <v>8062</v>
      </c>
      <c r="AA5" s="348"/>
      <c r="AB5" s="348"/>
      <c r="AC5" s="348"/>
      <c r="AD5" s="348"/>
      <c r="AE5" s="348">
        <f>+AE4+AA5-AD5</f>
        <v>9570</v>
      </c>
      <c r="AF5" s="348"/>
      <c r="AG5" s="348"/>
      <c r="AH5" s="348"/>
      <c r="AI5" s="348"/>
      <c r="AJ5" s="348">
        <f>+AJ4+AF5-AI5</f>
        <v>9859</v>
      </c>
      <c r="AK5" s="348"/>
      <c r="AL5" s="348"/>
      <c r="AM5" s="348"/>
      <c r="AN5" s="348"/>
      <c r="AO5" s="348">
        <f>+AO4+AK5-AN5</f>
        <v>4166</v>
      </c>
      <c r="AP5" s="348"/>
      <c r="AQ5" s="348"/>
      <c r="AR5" s="348"/>
      <c r="AS5" s="348"/>
      <c r="AT5" s="348">
        <f>+AT4+AP5-AS5</f>
        <v>0</v>
      </c>
      <c r="AU5" s="348"/>
      <c r="AV5" s="348"/>
      <c r="AW5" s="348"/>
      <c r="AX5" s="348"/>
      <c r="AY5" s="348">
        <f>+AY4+AU5-AX5</f>
        <v>0</v>
      </c>
      <c r="AZ5" s="348"/>
      <c r="BA5" s="348"/>
      <c r="BB5" s="348"/>
      <c r="BC5" s="348"/>
      <c r="BD5" s="348">
        <f>+BD4+AZ5-BC5</f>
        <v>0</v>
      </c>
      <c r="BE5" s="348"/>
      <c r="BF5" s="348"/>
      <c r="BG5" s="348"/>
      <c r="BH5" s="348"/>
      <c r="BI5" s="351">
        <f>+BI4+BE5-BH5</f>
        <v>0</v>
      </c>
      <c r="BJ5" s="348"/>
      <c r="BK5" s="348"/>
      <c r="BL5" s="348"/>
      <c r="BM5" s="348"/>
      <c r="BN5" s="351">
        <f>+BN4+BJ5-BM5</f>
        <v>0</v>
      </c>
      <c r="BO5" s="348"/>
      <c r="BP5" s="348"/>
      <c r="BQ5" s="348"/>
      <c r="BR5" s="348"/>
      <c r="BS5" s="351">
        <f>+BS4+BO5-BR5</f>
        <v>1262</v>
      </c>
      <c r="BT5" s="348"/>
      <c r="BU5" s="348"/>
      <c r="BV5" s="348"/>
      <c r="BW5" s="348"/>
      <c r="BX5" s="351">
        <f>+BX4+BT5-BW5</f>
        <v>1262</v>
      </c>
      <c r="BY5" s="348"/>
      <c r="BZ5" s="348"/>
      <c r="CA5" s="348"/>
      <c r="CB5" s="348"/>
      <c r="CC5" s="351">
        <f>+CC4+BY5-CB5</f>
        <v>1035</v>
      </c>
      <c r="CD5" s="348"/>
      <c r="CE5" s="348"/>
      <c r="CF5" s="348"/>
      <c r="CG5" s="348"/>
      <c r="CH5" s="351">
        <f>+CH4+CD5-CG5</f>
        <v>1035</v>
      </c>
    </row>
    <row r="6" spans="1:86" x14ac:dyDescent="0.2">
      <c r="A6" s="343" t="s">
        <v>503</v>
      </c>
      <c r="B6" s="348"/>
      <c r="C6" s="348"/>
      <c r="D6" s="348"/>
      <c r="E6" s="348">
        <v>80</v>
      </c>
      <c r="F6" s="348">
        <f>+F5+B6-E6</f>
        <v>7459</v>
      </c>
      <c r="G6" s="348"/>
      <c r="H6" s="348"/>
      <c r="I6" s="348"/>
      <c r="J6" s="348"/>
      <c r="K6" s="348">
        <f>+K5+G6-J6</f>
        <v>0</v>
      </c>
      <c r="L6" s="348"/>
      <c r="M6" s="348"/>
      <c r="N6" s="348"/>
      <c r="O6" s="348"/>
      <c r="P6" s="348">
        <f>+P5+L6-O6</f>
        <v>0</v>
      </c>
      <c r="Q6" s="348"/>
      <c r="R6" s="348"/>
      <c r="S6" s="348"/>
      <c r="T6" s="348"/>
      <c r="U6" s="348">
        <f>+U5+Q6-T6</f>
        <v>7271</v>
      </c>
      <c r="V6" s="348"/>
      <c r="W6" s="348"/>
      <c r="X6" s="348"/>
      <c r="Y6" s="348"/>
      <c r="Z6" s="348">
        <f>+Z5+V6-Y6</f>
        <v>8062</v>
      </c>
      <c r="AA6" s="348"/>
      <c r="AB6" s="348"/>
      <c r="AC6" s="348"/>
      <c r="AD6" s="348"/>
      <c r="AE6" s="348">
        <f>+AE5+AA6-AD6</f>
        <v>9570</v>
      </c>
      <c r="AF6" s="348"/>
      <c r="AG6" s="348"/>
      <c r="AH6" s="348"/>
      <c r="AI6" s="348"/>
      <c r="AJ6" s="348">
        <f>+AJ5+AF6-AI6</f>
        <v>9859</v>
      </c>
      <c r="AK6" s="348"/>
      <c r="AL6" s="348"/>
      <c r="AM6" s="348"/>
      <c r="AN6" s="348"/>
      <c r="AO6" s="348">
        <f>+AO5+AK6-AN6</f>
        <v>4166</v>
      </c>
      <c r="AP6" s="348"/>
      <c r="AQ6" s="348"/>
      <c r="AR6" s="348"/>
      <c r="AS6" s="348"/>
      <c r="AT6" s="348">
        <f>+AT5+AP6-AS6</f>
        <v>0</v>
      </c>
      <c r="AU6" s="348">
        <v>12500</v>
      </c>
      <c r="AV6" s="348">
        <v>206</v>
      </c>
      <c r="AW6" s="348">
        <f>+AV6*AU6</f>
        <v>2575000</v>
      </c>
      <c r="AX6" s="348">
        <f>20+50</f>
        <v>70</v>
      </c>
      <c r="AY6" s="348">
        <f>+AY5+AU6-AX6</f>
        <v>12430</v>
      </c>
      <c r="AZ6" s="348">
        <v>8500</v>
      </c>
      <c r="BA6" s="347">
        <v>477.64706000000001</v>
      </c>
      <c r="BB6" s="348">
        <f>+BA6*AZ6</f>
        <v>4060000.0100000002</v>
      </c>
      <c r="BC6" s="348">
        <f>20+50</f>
        <v>70</v>
      </c>
      <c r="BD6" s="348">
        <f>+BD5+AZ6-BC6</f>
        <v>8430</v>
      </c>
      <c r="BE6" s="348">
        <v>10000</v>
      </c>
      <c r="BF6" s="348">
        <v>290</v>
      </c>
      <c r="BG6" s="348">
        <f>+BF6*BE6</f>
        <v>2900000</v>
      </c>
      <c r="BH6" s="348">
        <v>20</v>
      </c>
      <c r="BI6" s="348">
        <f>+BI5+BE6-BH6</f>
        <v>9980</v>
      </c>
      <c r="BJ6" s="348">
        <v>8500</v>
      </c>
      <c r="BK6" s="347">
        <v>477.64706000000001</v>
      </c>
      <c r="BL6" s="348">
        <f>+BK6*BJ6</f>
        <v>4060000.0100000002</v>
      </c>
      <c r="BM6" s="348">
        <f>20+50</f>
        <v>70</v>
      </c>
      <c r="BN6" s="348">
        <f>+BN5+BJ6-BM6</f>
        <v>8430</v>
      </c>
      <c r="BO6" s="348"/>
      <c r="BP6" s="348"/>
      <c r="BQ6" s="348"/>
      <c r="BR6" s="348"/>
      <c r="BS6" s="348">
        <f>+BS5+BO6-BR6</f>
        <v>1262</v>
      </c>
      <c r="BT6" s="348"/>
      <c r="BU6" s="348"/>
      <c r="BV6" s="348"/>
      <c r="BW6" s="348"/>
      <c r="BX6" s="348">
        <f>+BX5+BT6-BW6</f>
        <v>1262</v>
      </c>
      <c r="BY6" s="348"/>
      <c r="BZ6" s="348"/>
      <c r="CA6" s="348"/>
      <c r="CB6" s="348"/>
      <c r="CC6" s="348">
        <f>+CC5+BY6-CB6</f>
        <v>1035</v>
      </c>
      <c r="CD6" s="348"/>
      <c r="CE6" s="348"/>
      <c r="CF6" s="348"/>
      <c r="CG6" s="348"/>
      <c r="CH6" s="348">
        <f>+CH5+CD6-CG6</f>
        <v>1035</v>
      </c>
    </row>
    <row r="7" spans="1:86" x14ac:dyDescent="0.2">
      <c r="A7" s="346" t="s">
        <v>507</v>
      </c>
      <c r="B7" s="353"/>
      <c r="C7" s="353">
        <v>7250</v>
      </c>
      <c r="D7" s="353"/>
      <c r="E7" s="353"/>
      <c r="F7" s="353">
        <f t="shared" ref="F7:F17" si="0">+F6+B7-E7</f>
        <v>7459</v>
      </c>
      <c r="G7" s="353">
        <v>2550</v>
      </c>
      <c r="H7" s="353"/>
      <c r="I7" s="353"/>
      <c r="J7" s="353"/>
      <c r="K7" s="353">
        <f t="shared" ref="K7:K17" si="1">+K6+G7-J7</f>
        <v>2550</v>
      </c>
      <c r="L7" s="353"/>
      <c r="M7" s="353"/>
      <c r="N7" s="353"/>
      <c r="O7" s="353"/>
      <c r="P7" s="353">
        <f t="shared" ref="P7:P17" si="2">+P6+L7-O7</f>
        <v>0</v>
      </c>
      <c r="Q7" s="353"/>
      <c r="R7" s="353"/>
      <c r="S7" s="353"/>
      <c r="T7" s="353"/>
      <c r="U7" s="353">
        <v>9257</v>
      </c>
      <c r="V7" s="353"/>
      <c r="W7" s="353"/>
      <c r="X7" s="353"/>
      <c r="Y7" s="353"/>
      <c r="Z7" s="353">
        <v>8059</v>
      </c>
      <c r="AA7" s="353"/>
      <c r="AB7" s="353"/>
      <c r="AC7" s="353"/>
      <c r="AD7" s="353"/>
      <c r="AE7" s="353">
        <v>9037</v>
      </c>
      <c r="AF7" s="353"/>
      <c r="AG7" s="353"/>
      <c r="AH7" s="353"/>
      <c r="AI7" s="353"/>
      <c r="AJ7" s="353">
        <v>9037</v>
      </c>
      <c r="AK7" s="353"/>
      <c r="AL7" s="353"/>
      <c r="AM7" s="353"/>
      <c r="AN7" s="353"/>
      <c r="AO7" s="353">
        <v>2421</v>
      </c>
      <c r="AP7" s="353"/>
      <c r="AQ7" s="353"/>
      <c r="AR7" s="353"/>
      <c r="AS7" s="353"/>
      <c r="AT7" s="353">
        <f t="shared" ref="AT7:AT17" si="3">+AT6+AP7-AS7</f>
        <v>0</v>
      </c>
      <c r="AU7" s="353"/>
      <c r="AV7" s="353"/>
      <c r="AW7" s="353"/>
      <c r="AX7" s="353">
        <v>50</v>
      </c>
      <c r="AY7" s="353">
        <f t="shared" ref="AY7:AY17" si="4">+AY6+AU7-AX7</f>
        <v>12380</v>
      </c>
      <c r="AZ7" s="353"/>
      <c r="BA7" s="353"/>
      <c r="BB7" s="353"/>
      <c r="BC7" s="353"/>
      <c r="BD7" s="353">
        <f t="shared" ref="BD7:BD17" si="5">+BD6+AZ7-BC7</f>
        <v>8430</v>
      </c>
      <c r="BE7" s="353"/>
      <c r="BF7" s="353"/>
      <c r="BG7" s="353"/>
      <c r="BH7" s="353"/>
      <c r="BI7" s="354">
        <f t="shared" ref="BI7:BI17" si="6">+BI6+BE7-BH7</f>
        <v>9980</v>
      </c>
      <c r="BJ7" s="353"/>
      <c r="BK7" s="353"/>
      <c r="BL7" s="353"/>
      <c r="BM7" s="353"/>
      <c r="BN7" s="354">
        <f t="shared" ref="BN7:BN17" si="7">+BN6+BJ7-BM7</f>
        <v>8430</v>
      </c>
      <c r="BO7" s="353"/>
      <c r="BP7" s="353"/>
      <c r="BQ7" s="353"/>
      <c r="BR7" s="353"/>
      <c r="BS7" s="354">
        <f t="shared" ref="BS7:BS17" si="8">+BS6+BO7-BR7</f>
        <v>1262</v>
      </c>
      <c r="BT7" s="353"/>
      <c r="BU7" s="353"/>
      <c r="BV7" s="353"/>
      <c r="BW7" s="353"/>
      <c r="BX7" s="354">
        <f t="shared" ref="BX7:BX17" si="9">+BX6+BT7-BW7</f>
        <v>1262</v>
      </c>
      <c r="BY7" s="353"/>
      <c r="BZ7" s="353"/>
      <c r="CA7" s="353"/>
      <c r="CB7" s="353"/>
      <c r="CC7" s="354">
        <f t="shared" ref="CC7:CC17" si="10">+CC6+BY7-CB7</f>
        <v>1035</v>
      </c>
      <c r="CD7" s="353"/>
      <c r="CE7" s="353"/>
      <c r="CF7" s="353"/>
      <c r="CG7" s="353"/>
      <c r="CH7" s="354">
        <f t="shared" ref="CH7:CH17" si="11">+CH6+CD7-CG7</f>
        <v>1035</v>
      </c>
    </row>
    <row r="8" spans="1:86" x14ac:dyDescent="0.2">
      <c r="A8" s="343"/>
      <c r="B8" s="348"/>
      <c r="C8" s="348"/>
      <c r="D8" s="348">
        <f>+F6-C7</f>
        <v>209</v>
      </c>
      <c r="E8" s="348"/>
      <c r="F8" s="348">
        <f t="shared" si="0"/>
        <v>7459</v>
      </c>
      <c r="G8" s="348"/>
      <c r="H8" s="348"/>
      <c r="I8" s="348"/>
      <c r="J8" s="348"/>
      <c r="K8" s="348">
        <f t="shared" si="1"/>
        <v>2550</v>
      </c>
      <c r="L8" s="348"/>
      <c r="M8" s="348"/>
      <c r="N8" s="348"/>
      <c r="O8" s="348"/>
      <c r="P8" s="348">
        <f t="shared" si="2"/>
        <v>0</v>
      </c>
      <c r="Q8" s="348"/>
      <c r="R8" s="348"/>
      <c r="S8" s="348"/>
      <c r="T8" s="348"/>
      <c r="U8" s="348">
        <f t="shared" ref="U8:U17" si="12">+U7+Q8-T8</f>
        <v>9257</v>
      </c>
      <c r="V8" s="348"/>
      <c r="W8" s="348"/>
      <c r="X8" s="348"/>
      <c r="Y8" s="348"/>
      <c r="Z8" s="348">
        <f t="shared" ref="Z8:Z17" si="13">+Z7+V8-Y8</f>
        <v>8059</v>
      </c>
      <c r="AA8" s="348"/>
      <c r="AB8" s="348"/>
      <c r="AC8" s="348"/>
      <c r="AD8" s="348"/>
      <c r="AE8" s="348">
        <f t="shared" ref="AE8:AE17" si="14">+AE7+AA8-AD8</f>
        <v>9037</v>
      </c>
      <c r="AF8" s="348"/>
      <c r="AG8" s="348"/>
      <c r="AH8" s="348"/>
      <c r="AI8" s="348"/>
      <c r="AJ8" s="348">
        <f t="shared" ref="AJ8:AJ17" si="15">+AJ7+AF8-AI8</f>
        <v>9037</v>
      </c>
      <c r="AK8" s="348"/>
      <c r="AL8" s="348"/>
      <c r="AM8" s="348"/>
      <c r="AN8" s="348"/>
      <c r="AO8" s="348">
        <f t="shared" ref="AO8:AO17" si="16">+AO7+AK8-AN8</f>
        <v>2421</v>
      </c>
      <c r="AP8" s="348"/>
      <c r="AQ8" s="348"/>
      <c r="AR8" s="348"/>
      <c r="AS8" s="348"/>
      <c r="AT8" s="348">
        <f t="shared" si="3"/>
        <v>0</v>
      </c>
      <c r="AU8" s="348"/>
      <c r="AV8" s="348"/>
      <c r="AW8" s="348"/>
      <c r="AX8" s="348"/>
      <c r="AY8" s="348">
        <f t="shared" si="4"/>
        <v>12380</v>
      </c>
      <c r="AZ8" s="348"/>
      <c r="BA8" s="348"/>
      <c r="BB8" s="348"/>
      <c r="BC8" s="348"/>
      <c r="BD8" s="348">
        <f t="shared" si="5"/>
        <v>8430</v>
      </c>
      <c r="BE8" s="348"/>
      <c r="BF8" s="348"/>
      <c r="BG8" s="348"/>
      <c r="BH8" s="348"/>
      <c r="BI8" s="351">
        <f t="shared" si="6"/>
        <v>9980</v>
      </c>
      <c r="BJ8" s="348"/>
      <c r="BK8" s="348"/>
      <c r="BL8" s="348"/>
      <c r="BM8" s="348"/>
      <c r="BN8" s="351">
        <f t="shared" si="7"/>
        <v>8430</v>
      </c>
      <c r="BO8" s="348"/>
      <c r="BP8" s="348"/>
      <c r="BQ8" s="348"/>
      <c r="BR8" s="348"/>
      <c r="BS8" s="351">
        <f t="shared" si="8"/>
        <v>1262</v>
      </c>
      <c r="BT8" s="348"/>
      <c r="BU8" s="348"/>
      <c r="BV8" s="348"/>
      <c r="BW8" s="348"/>
      <c r="BX8" s="351">
        <f t="shared" si="9"/>
        <v>1262</v>
      </c>
      <c r="BY8" s="348"/>
      <c r="BZ8" s="348"/>
      <c r="CA8" s="348"/>
      <c r="CB8" s="348"/>
      <c r="CC8" s="351">
        <f t="shared" si="10"/>
        <v>1035</v>
      </c>
      <c r="CD8" s="348"/>
      <c r="CE8" s="348"/>
      <c r="CF8" s="348"/>
      <c r="CG8" s="348"/>
      <c r="CH8" s="351">
        <f t="shared" si="11"/>
        <v>1035</v>
      </c>
    </row>
    <row r="9" spans="1:86" x14ac:dyDescent="0.2">
      <c r="A9" s="343"/>
      <c r="B9" s="348"/>
      <c r="C9" s="348"/>
      <c r="D9" s="348"/>
      <c r="E9" s="348"/>
      <c r="F9" s="348">
        <f t="shared" si="0"/>
        <v>7459</v>
      </c>
      <c r="G9" s="348"/>
      <c r="H9" s="348"/>
      <c r="I9" s="348"/>
      <c r="J9" s="348"/>
      <c r="K9" s="348">
        <f t="shared" si="1"/>
        <v>2550</v>
      </c>
      <c r="L9" s="348"/>
      <c r="M9" s="348"/>
      <c r="N9" s="348"/>
      <c r="O9" s="348"/>
      <c r="P9" s="348">
        <f t="shared" si="2"/>
        <v>0</v>
      </c>
      <c r="Q9" s="348"/>
      <c r="R9" s="348"/>
      <c r="S9" s="348"/>
      <c r="T9" s="348"/>
      <c r="U9" s="348">
        <f t="shared" si="12"/>
        <v>9257</v>
      </c>
      <c r="V9" s="348"/>
      <c r="W9" s="348"/>
      <c r="X9" s="348"/>
      <c r="Y9" s="348"/>
      <c r="Z9" s="348">
        <f t="shared" si="13"/>
        <v>8059</v>
      </c>
      <c r="AA9" s="348"/>
      <c r="AB9" s="348"/>
      <c r="AC9" s="348"/>
      <c r="AD9" s="348"/>
      <c r="AE9" s="348">
        <f t="shared" si="14"/>
        <v>9037</v>
      </c>
      <c r="AF9" s="348"/>
      <c r="AG9" s="348"/>
      <c r="AH9" s="348"/>
      <c r="AI9" s="348"/>
      <c r="AJ9" s="348">
        <f t="shared" si="15"/>
        <v>9037</v>
      </c>
      <c r="AK9" s="348"/>
      <c r="AL9" s="348"/>
      <c r="AM9" s="348"/>
      <c r="AN9" s="348"/>
      <c r="AO9" s="348">
        <f t="shared" si="16"/>
        <v>2421</v>
      </c>
      <c r="AP9" s="348"/>
      <c r="AQ9" s="348"/>
      <c r="AR9" s="348"/>
      <c r="AS9" s="348"/>
      <c r="AT9" s="348">
        <f t="shared" si="3"/>
        <v>0</v>
      </c>
      <c r="AU9" s="348"/>
      <c r="AV9" s="348"/>
      <c r="AW9" s="348"/>
      <c r="AX9" s="348"/>
      <c r="AY9" s="348">
        <f t="shared" si="4"/>
        <v>12380</v>
      </c>
      <c r="AZ9" s="348"/>
      <c r="BA9" s="348"/>
      <c r="BB9" s="348"/>
      <c r="BC9" s="348"/>
      <c r="BD9" s="348">
        <f t="shared" si="5"/>
        <v>8430</v>
      </c>
      <c r="BE9" s="348"/>
      <c r="BF9" s="348"/>
      <c r="BG9" s="348"/>
      <c r="BH9" s="348"/>
      <c r="BI9" s="351">
        <f t="shared" si="6"/>
        <v>9980</v>
      </c>
      <c r="BJ9" s="348"/>
      <c r="BK9" s="348"/>
      <c r="BL9" s="348"/>
      <c r="BM9" s="348"/>
      <c r="BN9" s="351">
        <f t="shared" si="7"/>
        <v>8430</v>
      </c>
      <c r="BO9" s="348"/>
      <c r="BP9" s="348"/>
      <c r="BQ9" s="348"/>
      <c r="BR9" s="348"/>
      <c r="BS9" s="351">
        <f t="shared" si="8"/>
        <v>1262</v>
      </c>
      <c r="BT9" s="348"/>
      <c r="BU9" s="348"/>
      <c r="BV9" s="348"/>
      <c r="BW9" s="348"/>
      <c r="BX9" s="351">
        <f t="shared" si="9"/>
        <v>1262</v>
      </c>
      <c r="BY9" s="348"/>
      <c r="BZ9" s="348"/>
      <c r="CA9" s="348"/>
      <c r="CB9" s="348"/>
      <c r="CC9" s="351">
        <f t="shared" si="10"/>
        <v>1035</v>
      </c>
      <c r="CD9" s="348"/>
      <c r="CE9" s="348"/>
      <c r="CF9" s="348"/>
      <c r="CG9" s="348"/>
      <c r="CH9" s="351">
        <f t="shared" si="11"/>
        <v>1035</v>
      </c>
    </row>
    <row r="10" spans="1:86" x14ac:dyDescent="0.2">
      <c r="A10" s="343"/>
      <c r="B10" s="348"/>
      <c r="C10" s="348"/>
      <c r="D10" s="348"/>
      <c r="E10" s="348"/>
      <c r="F10" s="348">
        <f t="shared" si="0"/>
        <v>7459</v>
      </c>
      <c r="G10" s="348"/>
      <c r="H10" s="348"/>
      <c r="I10" s="348"/>
      <c r="J10" s="348"/>
      <c r="K10" s="348">
        <f t="shared" si="1"/>
        <v>2550</v>
      </c>
      <c r="L10" s="348"/>
      <c r="M10" s="348"/>
      <c r="N10" s="348"/>
      <c r="O10" s="348"/>
      <c r="P10" s="348">
        <f t="shared" si="2"/>
        <v>0</v>
      </c>
      <c r="Q10" s="348"/>
      <c r="R10" s="348"/>
      <c r="S10" s="348"/>
      <c r="T10" s="348"/>
      <c r="U10" s="348">
        <f t="shared" si="12"/>
        <v>9257</v>
      </c>
      <c r="V10" s="348"/>
      <c r="W10" s="348"/>
      <c r="X10" s="348"/>
      <c r="Y10" s="348"/>
      <c r="Z10" s="348">
        <f t="shared" si="13"/>
        <v>8059</v>
      </c>
      <c r="AA10" s="348"/>
      <c r="AB10" s="348"/>
      <c r="AC10" s="348"/>
      <c r="AD10" s="348"/>
      <c r="AE10" s="348">
        <f t="shared" si="14"/>
        <v>9037</v>
      </c>
      <c r="AF10" s="348"/>
      <c r="AG10" s="348"/>
      <c r="AH10" s="348"/>
      <c r="AI10" s="348"/>
      <c r="AJ10" s="348">
        <f t="shared" si="15"/>
        <v>9037</v>
      </c>
      <c r="AK10" s="348"/>
      <c r="AL10" s="348"/>
      <c r="AM10" s="348"/>
      <c r="AN10" s="348"/>
      <c r="AO10" s="348">
        <f t="shared" si="16"/>
        <v>2421</v>
      </c>
      <c r="AP10" s="348"/>
      <c r="AQ10" s="348"/>
      <c r="AR10" s="348"/>
      <c r="AS10" s="348"/>
      <c r="AT10" s="348">
        <f t="shared" si="3"/>
        <v>0</v>
      </c>
      <c r="AU10" s="348"/>
      <c r="AV10" s="348"/>
      <c r="AW10" s="348"/>
      <c r="AX10" s="348"/>
      <c r="AY10" s="348">
        <f t="shared" si="4"/>
        <v>12380</v>
      </c>
      <c r="AZ10" s="348"/>
      <c r="BA10" s="348"/>
      <c r="BB10" s="348"/>
      <c r="BC10" s="348"/>
      <c r="BD10" s="348">
        <f t="shared" si="5"/>
        <v>8430</v>
      </c>
      <c r="BE10" s="348"/>
      <c r="BF10" s="348"/>
      <c r="BG10" s="348"/>
      <c r="BH10" s="348"/>
      <c r="BI10" s="351">
        <f t="shared" si="6"/>
        <v>9980</v>
      </c>
      <c r="BJ10" s="348"/>
      <c r="BK10" s="348"/>
      <c r="BL10" s="348"/>
      <c r="BM10" s="348"/>
      <c r="BN10" s="351">
        <f t="shared" si="7"/>
        <v>8430</v>
      </c>
      <c r="BO10" s="348"/>
      <c r="BP10" s="348"/>
      <c r="BQ10" s="348"/>
      <c r="BR10" s="348"/>
      <c r="BS10" s="351">
        <f t="shared" si="8"/>
        <v>1262</v>
      </c>
      <c r="BT10" s="348"/>
      <c r="BU10" s="348"/>
      <c r="BV10" s="348"/>
      <c r="BW10" s="348"/>
      <c r="BX10" s="351">
        <f t="shared" si="9"/>
        <v>1262</v>
      </c>
      <c r="BY10" s="348"/>
      <c r="BZ10" s="348"/>
      <c r="CA10" s="348"/>
      <c r="CB10" s="348"/>
      <c r="CC10" s="351">
        <f t="shared" si="10"/>
        <v>1035</v>
      </c>
      <c r="CD10" s="348"/>
      <c r="CE10" s="348"/>
      <c r="CF10" s="348"/>
      <c r="CG10" s="348"/>
      <c r="CH10" s="351">
        <f t="shared" si="11"/>
        <v>1035</v>
      </c>
    </row>
    <row r="11" spans="1:86" x14ac:dyDescent="0.2">
      <c r="A11" s="343"/>
      <c r="B11" s="348"/>
      <c r="C11" s="348"/>
      <c r="D11" s="348"/>
      <c r="E11" s="348"/>
      <c r="F11" s="348">
        <f t="shared" si="0"/>
        <v>7459</v>
      </c>
      <c r="G11" s="348"/>
      <c r="H11" s="348"/>
      <c r="I11" s="348"/>
      <c r="J11" s="348"/>
      <c r="K11" s="348">
        <f t="shared" si="1"/>
        <v>2550</v>
      </c>
      <c r="L11" s="348"/>
      <c r="M11" s="348"/>
      <c r="N11" s="348"/>
      <c r="O11" s="348"/>
      <c r="P11" s="348">
        <f t="shared" si="2"/>
        <v>0</v>
      </c>
      <c r="Q11" s="348"/>
      <c r="R11" s="348"/>
      <c r="S11" s="348"/>
      <c r="T11" s="348"/>
      <c r="U11" s="348">
        <f t="shared" si="12"/>
        <v>9257</v>
      </c>
      <c r="V11" s="348"/>
      <c r="W11" s="348"/>
      <c r="X11" s="348"/>
      <c r="Y11" s="348"/>
      <c r="Z11" s="348">
        <f t="shared" si="13"/>
        <v>8059</v>
      </c>
      <c r="AA11" s="348"/>
      <c r="AB11" s="348"/>
      <c r="AC11" s="348"/>
      <c r="AD11" s="348"/>
      <c r="AE11" s="348">
        <f t="shared" si="14"/>
        <v>9037</v>
      </c>
      <c r="AF11" s="348"/>
      <c r="AG11" s="348"/>
      <c r="AH11" s="348"/>
      <c r="AI11" s="348"/>
      <c r="AJ11" s="348">
        <f t="shared" si="15"/>
        <v>9037</v>
      </c>
      <c r="AK11" s="348"/>
      <c r="AL11" s="348"/>
      <c r="AM11" s="348"/>
      <c r="AN11" s="348"/>
      <c r="AO11" s="348">
        <f t="shared" si="16"/>
        <v>2421</v>
      </c>
      <c r="AP11" s="348"/>
      <c r="AQ11" s="348"/>
      <c r="AR11" s="348"/>
      <c r="AS11" s="348"/>
      <c r="AT11" s="348">
        <f t="shared" si="3"/>
        <v>0</v>
      </c>
      <c r="AU11" s="348"/>
      <c r="AV11" s="348"/>
      <c r="AW11" s="348"/>
      <c r="AX11" s="348"/>
      <c r="AY11" s="348">
        <f t="shared" si="4"/>
        <v>12380</v>
      </c>
      <c r="AZ11" s="348"/>
      <c r="BA11" s="348"/>
      <c r="BB11" s="348"/>
      <c r="BC11" s="348"/>
      <c r="BD11" s="348">
        <f t="shared" si="5"/>
        <v>8430</v>
      </c>
      <c r="BE11" s="348"/>
      <c r="BF11" s="348"/>
      <c r="BG11" s="348"/>
      <c r="BH11" s="348"/>
      <c r="BI11" s="351">
        <f t="shared" si="6"/>
        <v>9980</v>
      </c>
      <c r="BJ11" s="348"/>
      <c r="BK11" s="348"/>
      <c r="BL11" s="348"/>
      <c r="BM11" s="348"/>
      <c r="BN11" s="351">
        <f t="shared" si="7"/>
        <v>8430</v>
      </c>
      <c r="BO11" s="348"/>
      <c r="BP11" s="348"/>
      <c r="BQ11" s="348"/>
      <c r="BR11" s="348"/>
      <c r="BS11" s="351">
        <f t="shared" si="8"/>
        <v>1262</v>
      </c>
      <c r="BT11" s="348"/>
      <c r="BU11" s="348"/>
      <c r="BV11" s="348"/>
      <c r="BW11" s="348"/>
      <c r="BX11" s="351">
        <f t="shared" si="9"/>
        <v>1262</v>
      </c>
      <c r="BY11" s="348"/>
      <c r="BZ11" s="348"/>
      <c r="CA11" s="348"/>
      <c r="CB11" s="348"/>
      <c r="CC11" s="351">
        <f t="shared" si="10"/>
        <v>1035</v>
      </c>
      <c r="CD11" s="348"/>
      <c r="CE11" s="348"/>
      <c r="CF11" s="348"/>
      <c r="CG11" s="348"/>
      <c r="CH11" s="351">
        <f t="shared" si="11"/>
        <v>1035</v>
      </c>
    </row>
    <row r="12" spans="1:86" x14ac:dyDescent="0.2">
      <c r="A12" s="343"/>
      <c r="B12" s="348"/>
      <c r="C12" s="348"/>
      <c r="D12" s="348"/>
      <c r="E12" s="348"/>
      <c r="F12" s="348">
        <f t="shared" si="0"/>
        <v>7459</v>
      </c>
      <c r="G12" s="348"/>
      <c r="H12" s="348"/>
      <c r="I12" s="348"/>
      <c r="J12" s="348"/>
      <c r="K12" s="348">
        <f t="shared" si="1"/>
        <v>2550</v>
      </c>
      <c r="L12" s="348"/>
      <c r="M12" s="348"/>
      <c r="N12" s="348"/>
      <c r="O12" s="348"/>
      <c r="P12" s="348">
        <f t="shared" si="2"/>
        <v>0</v>
      </c>
      <c r="Q12" s="348"/>
      <c r="R12" s="348"/>
      <c r="S12" s="348"/>
      <c r="T12" s="348"/>
      <c r="U12" s="348">
        <f t="shared" si="12"/>
        <v>9257</v>
      </c>
      <c r="V12" s="348"/>
      <c r="W12" s="348"/>
      <c r="X12" s="348"/>
      <c r="Y12" s="348"/>
      <c r="Z12" s="348">
        <f t="shared" si="13"/>
        <v>8059</v>
      </c>
      <c r="AA12" s="348"/>
      <c r="AB12" s="348"/>
      <c r="AC12" s="348"/>
      <c r="AD12" s="348"/>
      <c r="AE12" s="348">
        <f t="shared" si="14"/>
        <v>9037</v>
      </c>
      <c r="AF12" s="348"/>
      <c r="AG12" s="348"/>
      <c r="AH12" s="348"/>
      <c r="AI12" s="348"/>
      <c r="AJ12" s="348">
        <f t="shared" si="15"/>
        <v>9037</v>
      </c>
      <c r="AK12" s="348"/>
      <c r="AL12" s="348"/>
      <c r="AM12" s="348"/>
      <c r="AN12" s="348"/>
      <c r="AO12" s="348">
        <f t="shared" si="16"/>
        <v>2421</v>
      </c>
      <c r="AP12" s="348"/>
      <c r="AQ12" s="348"/>
      <c r="AR12" s="348"/>
      <c r="AS12" s="348"/>
      <c r="AT12" s="348">
        <f t="shared" si="3"/>
        <v>0</v>
      </c>
      <c r="AU12" s="348"/>
      <c r="AV12" s="348"/>
      <c r="AW12" s="348"/>
      <c r="AX12" s="348"/>
      <c r="AY12" s="348">
        <f t="shared" si="4"/>
        <v>12380</v>
      </c>
      <c r="AZ12" s="348"/>
      <c r="BA12" s="348"/>
      <c r="BB12" s="348"/>
      <c r="BC12" s="348"/>
      <c r="BD12" s="348">
        <f t="shared" si="5"/>
        <v>8430</v>
      </c>
      <c r="BE12" s="348"/>
      <c r="BF12" s="348"/>
      <c r="BG12" s="348"/>
      <c r="BH12" s="348"/>
      <c r="BI12" s="351">
        <f t="shared" si="6"/>
        <v>9980</v>
      </c>
      <c r="BJ12" s="348"/>
      <c r="BK12" s="348"/>
      <c r="BL12" s="348"/>
      <c r="BM12" s="348"/>
      <c r="BN12" s="351">
        <f t="shared" si="7"/>
        <v>8430</v>
      </c>
      <c r="BO12" s="348"/>
      <c r="BP12" s="348"/>
      <c r="BQ12" s="348"/>
      <c r="BR12" s="348"/>
      <c r="BS12" s="351">
        <f t="shared" si="8"/>
        <v>1262</v>
      </c>
      <c r="BT12" s="348"/>
      <c r="BU12" s="348"/>
      <c r="BV12" s="348"/>
      <c r="BW12" s="348"/>
      <c r="BX12" s="351">
        <f t="shared" si="9"/>
        <v>1262</v>
      </c>
      <c r="BY12" s="348"/>
      <c r="BZ12" s="348"/>
      <c r="CA12" s="348"/>
      <c r="CB12" s="348"/>
      <c r="CC12" s="351">
        <f t="shared" si="10"/>
        <v>1035</v>
      </c>
      <c r="CD12" s="348"/>
      <c r="CE12" s="348"/>
      <c r="CF12" s="348"/>
      <c r="CG12" s="348"/>
      <c r="CH12" s="351">
        <f t="shared" si="11"/>
        <v>1035</v>
      </c>
    </row>
    <row r="13" spans="1:86" x14ac:dyDescent="0.2">
      <c r="A13" s="343"/>
      <c r="B13" s="348"/>
      <c r="C13" s="348"/>
      <c r="D13" s="348"/>
      <c r="E13" s="348"/>
      <c r="F13" s="348">
        <f t="shared" si="0"/>
        <v>7459</v>
      </c>
      <c r="G13" s="348"/>
      <c r="H13" s="348"/>
      <c r="I13" s="348"/>
      <c r="J13" s="348"/>
      <c r="K13" s="348">
        <f t="shared" si="1"/>
        <v>2550</v>
      </c>
      <c r="L13" s="348"/>
      <c r="M13" s="348"/>
      <c r="N13" s="348"/>
      <c r="O13" s="348"/>
      <c r="P13" s="348">
        <f t="shared" si="2"/>
        <v>0</v>
      </c>
      <c r="Q13" s="348"/>
      <c r="R13" s="348"/>
      <c r="S13" s="348"/>
      <c r="T13" s="348"/>
      <c r="U13" s="348">
        <f t="shared" si="12"/>
        <v>9257</v>
      </c>
      <c r="V13" s="348"/>
      <c r="W13" s="348"/>
      <c r="X13" s="348"/>
      <c r="Y13" s="348"/>
      <c r="Z13" s="348">
        <f t="shared" si="13"/>
        <v>8059</v>
      </c>
      <c r="AA13" s="348"/>
      <c r="AB13" s="348"/>
      <c r="AC13" s="348"/>
      <c r="AD13" s="348"/>
      <c r="AE13" s="348">
        <f t="shared" si="14"/>
        <v>9037</v>
      </c>
      <c r="AF13" s="348"/>
      <c r="AG13" s="348"/>
      <c r="AH13" s="348"/>
      <c r="AI13" s="348"/>
      <c r="AJ13" s="348">
        <f t="shared" si="15"/>
        <v>9037</v>
      </c>
      <c r="AK13" s="348"/>
      <c r="AL13" s="348"/>
      <c r="AM13" s="348"/>
      <c r="AN13" s="348"/>
      <c r="AO13" s="348">
        <f t="shared" si="16"/>
        <v>2421</v>
      </c>
      <c r="AP13" s="348"/>
      <c r="AQ13" s="348"/>
      <c r="AR13" s="348"/>
      <c r="AS13" s="348"/>
      <c r="AT13" s="348">
        <f t="shared" si="3"/>
        <v>0</v>
      </c>
      <c r="AU13" s="348"/>
      <c r="AV13" s="348"/>
      <c r="AW13" s="348"/>
      <c r="AX13" s="348"/>
      <c r="AY13" s="348">
        <f t="shared" si="4"/>
        <v>12380</v>
      </c>
      <c r="AZ13" s="348"/>
      <c r="BA13" s="348"/>
      <c r="BB13" s="348"/>
      <c r="BC13" s="348"/>
      <c r="BD13" s="348">
        <f t="shared" si="5"/>
        <v>8430</v>
      </c>
      <c r="BE13" s="348"/>
      <c r="BF13" s="348"/>
      <c r="BG13" s="348"/>
      <c r="BH13" s="348"/>
      <c r="BI13" s="351">
        <f t="shared" si="6"/>
        <v>9980</v>
      </c>
      <c r="BJ13" s="348"/>
      <c r="BK13" s="348"/>
      <c r="BL13" s="348"/>
      <c r="BM13" s="348"/>
      <c r="BN13" s="351">
        <f t="shared" si="7"/>
        <v>8430</v>
      </c>
      <c r="BO13" s="348"/>
      <c r="BP13" s="348"/>
      <c r="BQ13" s="348"/>
      <c r="BR13" s="348"/>
      <c r="BS13" s="351">
        <f t="shared" si="8"/>
        <v>1262</v>
      </c>
      <c r="BT13" s="348"/>
      <c r="BU13" s="348"/>
      <c r="BV13" s="348"/>
      <c r="BW13" s="348"/>
      <c r="BX13" s="351">
        <f t="shared" si="9"/>
        <v>1262</v>
      </c>
      <c r="BY13" s="348"/>
      <c r="BZ13" s="348"/>
      <c r="CA13" s="348"/>
      <c r="CB13" s="348"/>
      <c r="CC13" s="351">
        <f t="shared" si="10"/>
        <v>1035</v>
      </c>
      <c r="CD13" s="348"/>
      <c r="CE13" s="348"/>
      <c r="CF13" s="348"/>
      <c r="CG13" s="348"/>
      <c r="CH13" s="351">
        <f t="shared" si="11"/>
        <v>1035</v>
      </c>
    </row>
    <row r="14" spans="1:86" x14ac:dyDescent="0.2">
      <c r="A14" s="343"/>
      <c r="B14" s="348"/>
      <c r="C14" s="348"/>
      <c r="D14" s="348"/>
      <c r="E14" s="348"/>
      <c r="F14" s="348">
        <f t="shared" si="0"/>
        <v>7459</v>
      </c>
      <c r="G14" s="348"/>
      <c r="H14" s="348"/>
      <c r="I14" s="348"/>
      <c r="J14" s="348"/>
      <c r="K14" s="348">
        <f t="shared" si="1"/>
        <v>2550</v>
      </c>
      <c r="L14" s="348"/>
      <c r="M14" s="348"/>
      <c r="N14" s="348"/>
      <c r="O14" s="348"/>
      <c r="P14" s="348">
        <f t="shared" si="2"/>
        <v>0</v>
      </c>
      <c r="Q14" s="348"/>
      <c r="R14" s="348"/>
      <c r="S14" s="348"/>
      <c r="T14" s="348"/>
      <c r="U14" s="348">
        <f t="shared" si="12"/>
        <v>9257</v>
      </c>
      <c r="V14" s="348"/>
      <c r="W14" s="348"/>
      <c r="X14" s="348"/>
      <c r="Y14" s="348"/>
      <c r="Z14" s="348">
        <f t="shared" si="13"/>
        <v>8059</v>
      </c>
      <c r="AA14" s="348"/>
      <c r="AB14" s="348"/>
      <c r="AC14" s="348"/>
      <c r="AD14" s="348"/>
      <c r="AE14" s="348">
        <f t="shared" si="14"/>
        <v>9037</v>
      </c>
      <c r="AF14" s="348"/>
      <c r="AG14" s="348"/>
      <c r="AH14" s="348"/>
      <c r="AI14" s="348"/>
      <c r="AJ14" s="348">
        <f t="shared" si="15"/>
        <v>9037</v>
      </c>
      <c r="AK14" s="348"/>
      <c r="AL14" s="348"/>
      <c r="AM14" s="348"/>
      <c r="AN14" s="348"/>
      <c r="AO14" s="348">
        <f t="shared" si="16"/>
        <v>2421</v>
      </c>
      <c r="AP14" s="348"/>
      <c r="AQ14" s="348"/>
      <c r="AR14" s="348"/>
      <c r="AS14" s="348"/>
      <c r="AT14" s="348">
        <f t="shared" si="3"/>
        <v>0</v>
      </c>
      <c r="AU14" s="348"/>
      <c r="AV14" s="348"/>
      <c r="AW14" s="348"/>
      <c r="AX14" s="348"/>
      <c r="AY14" s="348">
        <f t="shared" si="4"/>
        <v>12380</v>
      </c>
      <c r="AZ14" s="348"/>
      <c r="BA14" s="348"/>
      <c r="BB14" s="348"/>
      <c r="BC14" s="348"/>
      <c r="BD14" s="348">
        <f t="shared" si="5"/>
        <v>8430</v>
      </c>
      <c r="BE14" s="348"/>
      <c r="BF14" s="348"/>
      <c r="BG14" s="348"/>
      <c r="BH14" s="348"/>
      <c r="BI14" s="351">
        <f t="shared" si="6"/>
        <v>9980</v>
      </c>
      <c r="BJ14" s="348"/>
      <c r="BK14" s="348"/>
      <c r="BL14" s="348"/>
      <c r="BM14" s="348"/>
      <c r="BN14" s="351">
        <f t="shared" si="7"/>
        <v>8430</v>
      </c>
      <c r="BO14" s="348"/>
      <c r="BP14" s="348"/>
      <c r="BQ14" s="348"/>
      <c r="BR14" s="348"/>
      <c r="BS14" s="351">
        <f t="shared" si="8"/>
        <v>1262</v>
      </c>
      <c r="BT14" s="348"/>
      <c r="BU14" s="348"/>
      <c r="BV14" s="348"/>
      <c r="BW14" s="348"/>
      <c r="BX14" s="351">
        <f t="shared" si="9"/>
        <v>1262</v>
      </c>
      <c r="BY14" s="348"/>
      <c r="BZ14" s="348"/>
      <c r="CA14" s="348"/>
      <c r="CB14" s="348"/>
      <c r="CC14" s="351">
        <f t="shared" si="10"/>
        <v>1035</v>
      </c>
      <c r="CD14" s="348"/>
      <c r="CE14" s="348"/>
      <c r="CF14" s="348"/>
      <c r="CG14" s="348"/>
      <c r="CH14" s="351">
        <f t="shared" si="11"/>
        <v>1035</v>
      </c>
    </row>
    <row r="15" spans="1:86" x14ac:dyDescent="0.2">
      <c r="A15" s="343"/>
      <c r="B15" s="348"/>
      <c r="C15" s="348"/>
      <c r="D15" s="348"/>
      <c r="E15" s="348"/>
      <c r="F15" s="348">
        <f t="shared" si="0"/>
        <v>7459</v>
      </c>
      <c r="G15" s="348"/>
      <c r="H15" s="348"/>
      <c r="I15" s="348"/>
      <c r="J15" s="348"/>
      <c r="K15" s="348">
        <f t="shared" si="1"/>
        <v>2550</v>
      </c>
      <c r="L15" s="348"/>
      <c r="M15" s="348"/>
      <c r="N15" s="348"/>
      <c r="O15" s="348"/>
      <c r="P15" s="348">
        <f t="shared" si="2"/>
        <v>0</v>
      </c>
      <c r="Q15" s="348"/>
      <c r="R15" s="348"/>
      <c r="S15" s="348"/>
      <c r="T15" s="348"/>
      <c r="U15" s="348">
        <f t="shared" si="12"/>
        <v>9257</v>
      </c>
      <c r="V15" s="348"/>
      <c r="W15" s="348"/>
      <c r="X15" s="348"/>
      <c r="Y15" s="348"/>
      <c r="Z15" s="348">
        <f t="shared" si="13"/>
        <v>8059</v>
      </c>
      <c r="AA15" s="348"/>
      <c r="AB15" s="348"/>
      <c r="AC15" s="348"/>
      <c r="AD15" s="348"/>
      <c r="AE15" s="348">
        <f t="shared" si="14"/>
        <v>9037</v>
      </c>
      <c r="AF15" s="348"/>
      <c r="AG15" s="348"/>
      <c r="AH15" s="348"/>
      <c r="AI15" s="348"/>
      <c r="AJ15" s="348">
        <f t="shared" si="15"/>
        <v>9037</v>
      </c>
      <c r="AK15" s="348"/>
      <c r="AL15" s="348"/>
      <c r="AM15" s="348"/>
      <c r="AN15" s="348"/>
      <c r="AO15" s="348">
        <f t="shared" si="16"/>
        <v>2421</v>
      </c>
      <c r="AP15" s="348"/>
      <c r="AQ15" s="348"/>
      <c r="AR15" s="348"/>
      <c r="AS15" s="348"/>
      <c r="AT15" s="348">
        <f t="shared" si="3"/>
        <v>0</v>
      </c>
      <c r="AU15" s="348"/>
      <c r="AV15" s="348"/>
      <c r="AW15" s="348"/>
      <c r="AX15" s="348"/>
      <c r="AY15" s="348">
        <f t="shared" si="4"/>
        <v>12380</v>
      </c>
      <c r="AZ15" s="348"/>
      <c r="BA15" s="348"/>
      <c r="BB15" s="348"/>
      <c r="BC15" s="348"/>
      <c r="BD15" s="348">
        <f t="shared" si="5"/>
        <v>8430</v>
      </c>
      <c r="BE15" s="348"/>
      <c r="BF15" s="348"/>
      <c r="BG15" s="348"/>
      <c r="BH15" s="348"/>
      <c r="BI15" s="351">
        <f t="shared" si="6"/>
        <v>9980</v>
      </c>
      <c r="BJ15" s="348"/>
      <c r="BK15" s="348"/>
      <c r="BL15" s="348"/>
      <c r="BM15" s="348"/>
      <c r="BN15" s="351">
        <f t="shared" si="7"/>
        <v>8430</v>
      </c>
      <c r="BO15" s="348"/>
      <c r="BP15" s="348"/>
      <c r="BQ15" s="348"/>
      <c r="BR15" s="348"/>
      <c r="BS15" s="351">
        <f t="shared" si="8"/>
        <v>1262</v>
      </c>
      <c r="BT15" s="348"/>
      <c r="BU15" s="348"/>
      <c r="BV15" s="348"/>
      <c r="BW15" s="348"/>
      <c r="BX15" s="351">
        <f t="shared" si="9"/>
        <v>1262</v>
      </c>
      <c r="BY15" s="348"/>
      <c r="BZ15" s="348"/>
      <c r="CA15" s="348"/>
      <c r="CB15" s="348"/>
      <c r="CC15" s="351">
        <f t="shared" si="10"/>
        <v>1035</v>
      </c>
      <c r="CD15" s="348"/>
      <c r="CE15" s="348"/>
      <c r="CF15" s="348"/>
      <c r="CG15" s="348"/>
      <c r="CH15" s="351">
        <f t="shared" si="11"/>
        <v>1035</v>
      </c>
    </row>
    <row r="16" spans="1:86" x14ac:dyDescent="0.2">
      <c r="A16" s="343"/>
      <c r="B16" s="348"/>
      <c r="C16" s="348"/>
      <c r="D16" s="348"/>
      <c r="E16" s="348"/>
      <c r="F16" s="348">
        <f t="shared" si="0"/>
        <v>7459</v>
      </c>
      <c r="G16" s="348"/>
      <c r="H16" s="348"/>
      <c r="I16" s="348"/>
      <c r="J16" s="348"/>
      <c r="K16" s="348">
        <f t="shared" si="1"/>
        <v>2550</v>
      </c>
      <c r="L16" s="348"/>
      <c r="M16" s="348"/>
      <c r="N16" s="348"/>
      <c r="O16" s="348"/>
      <c r="P16" s="348">
        <f t="shared" si="2"/>
        <v>0</v>
      </c>
      <c r="Q16" s="348"/>
      <c r="R16" s="348"/>
      <c r="S16" s="348"/>
      <c r="T16" s="348"/>
      <c r="U16" s="348">
        <f t="shared" si="12"/>
        <v>9257</v>
      </c>
      <c r="V16" s="348"/>
      <c r="W16" s="348"/>
      <c r="X16" s="348"/>
      <c r="Y16" s="348"/>
      <c r="Z16" s="348">
        <f t="shared" si="13"/>
        <v>8059</v>
      </c>
      <c r="AA16" s="348"/>
      <c r="AB16" s="348"/>
      <c r="AC16" s="348"/>
      <c r="AD16" s="348"/>
      <c r="AE16" s="348">
        <f t="shared" si="14"/>
        <v>9037</v>
      </c>
      <c r="AF16" s="348"/>
      <c r="AG16" s="348"/>
      <c r="AH16" s="348"/>
      <c r="AI16" s="348"/>
      <c r="AJ16" s="348">
        <f t="shared" si="15"/>
        <v>9037</v>
      </c>
      <c r="AK16" s="348"/>
      <c r="AL16" s="348"/>
      <c r="AM16" s="348"/>
      <c r="AN16" s="348"/>
      <c r="AO16" s="348">
        <f t="shared" si="16"/>
        <v>2421</v>
      </c>
      <c r="AP16" s="348"/>
      <c r="AQ16" s="348"/>
      <c r="AR16" s="348"/>
      <c r="AS16" s="348"/>
      <c r="AT16" s="348">
        <f t="shared" si="3"/>
        <v>0</v>
      </c>
      <c r="AU16" s="348"/>
      <c r="AV16" s="348"/>
      <c r="AW16" s="348"/>
      <c r="AX16" s="348"/>
      <c r="AY16" s="348">
        <f t="shared" si="4"/>
        <v>12380</v>
      </c>
      <c r="AZ16" s="348"/>
      <c r="BA16" s="348"/>
      <c r="BB16" s="348"/>
      <c r="BC16" s="348"/>
      <c r="BD16" s="348">
        <f t="shared" si="5"/>
        <v>8430</v>
      </c>
      <c r="BE16" s="348"/>
      <c r="BF16" s="348"/>
      <c r="BG16" s="348"/>
      <c r="BH16" s="348"/>
      <c r="BI16" s="351">
        <f t="shared" si="6"/>
        <v>9980</v>
      </c>
      <c r="BJ16" s="348"/>
      <c r="BK16" s="348"/>
      <c r="BL16" s="348"/>
      <c r="BM16" s="348"/>
      <c r="BN16" s="351">
        <f t="shared" si="7"/>
        <v>8430</v>
      </c>
      <c r="BO16" s="348"/>
      <c r="BP16" s="348"/>
      <c r="BQ16" s="348"/>
      <c r="BR16" s="348"/>
      <c r="BS16" s="351">
        <f t="shared" si="8"/>
        <v>1262</v>
      </c>
      <c r="BT16" s="348"/>
      <c r="BU16" s="348"/>
      <c r="BV16" s="348"/>
      <c r="BW16" s="348"/>
      <c r="BX16" s="351">
        <f t="shared" si="9"/>
        <v>1262</v>
      </c>
      <c r="BY16" s="348"/>
      <c r="BZ16" s="348"/>
      <c r="CA16" s="348"/>
      <c r="CB16" s="348"/>
      <c r="CC16" s="351">
        <f t="shared" si="10"/>
        <v>1035</v>
      </c>
      <c r="CD16" s="348"/>
      <c r="CE16" s="348"/>
      <c r="CF16" s="348"/>
      <c r="CG16" s="348"/>
      <c r="CH16" s="351">
        <f t="shared" si="11"/>
        <v>1035</v>
      </c>
    </row>
    <row r="17" spans="1:86" x14ac:dyDescent="0.2">
      <c r="A17" s="343"/>
      <c r="B17" s="348"/>
      <c r="C17" s="348"/>
      <c r="D17" s="348"/>
      <c r="E17" s="348"/>
      <c r="F17" s="348">
        <f t="shared" si="0"/>
        <v>7459</v>
      </c>
      <c r="G17" s="348"/>
      <c r="H17" s="348"/>
      <c r="I17" s="348"/>
      <c r="J17" s="348"/>
      <c r="K17" s="348">
        <f t="shared" si="1"/>
        <v>2550</v>
      </c>
      <c r="L17" s="348"/>
      <c r="M17" s="348"/>
      <c r="N17" s="348"/>
      <c r="O17" s="348"/>
      <c r="P17" s="348">
        <f t="shared" si="2"/>
        <v>0</v>
      </c>
      <c r="Q17" s="348"/>
      <c r="R17" s="348"/>
      <c r="S17" s="348"/>
      <c r="T17" s="348"/>
      <c r="U17" s="348">
        <f t="shared" si="12"/>
        <v>9257</v>
      </c>
      <c r="V17" s="348"/>
      <c r="W17" s="348"/>
      <c r="X17" s="348"/>
      <c r="Y17" s="348"/>
      <c r="Z17" s="348">
        <f t="shared" si="13"/>
        <v>8059</v>
      </c>
      <c r="AA17" s="348"/>
      <c r="AB17" s="348"/>
      <c r="AC17" s="348"/>
      <c r="AD17" s="348"/>
      <c r="AE17" s="348">
        <f t="shared" si="14"/>
        <v>9037</v>
      </c>
      <c r="AF17" s="348"/>
      <c r="AG17" s="348"/>
      <c r="AH17" s="348"/>
      <c r="AI17" s="348"/>
      <c r="AJ17" s="348">
        <f t="shared" si="15"/>
        <v>9037</v>
      </c>
      <c r="AK17" s="348"/>
      <c r="AL17" s="348"/>
      <c r="AM17" s="348"/>
      <c r="AN17" s="348"/>
      <c r="AO17" s="348">
        <f t="shared" si="16"/>
        <v>2421</v>
      </c>
      <c r="AP17" s="348"/>
      <c r="AQ17" s="348"/>
      <c r="AR17" s="348"/>
      <c r="AS17" s="348"/>
      <c r="AT17" s="348">
        <f t="shared" si="3"/>
        <v>0</v>
      </c>
      <c r="AU17" s="348"/>
      <c r="AV17" s="348"/>
      <c r="AW17" s="348"/>
      <c r="AX17" s="348"/>
      <c r="AY17" s="348">
        <f t="shared" si="4"/>
        <v>12380</v>
      </c>
      <c r="AZ17" s="348"/>
      <c r="BA17" s="348"/>
      <c r="BB17" s="348"/>
      <c r="BC17" s="348"/>
      <c r="BD17" s="348">
        <f t="shared" si="5"/>
        <v>8430</v>
      </c>
      <c r="BE17" s="348"/>
      <c r="BF17" s="348"/>
      <c r="BG17" s="348"/>
      <c r="BH17" s="348"/>
      <c r="BI17" s="351">
        <f t="shared" si="6"/>
        <v>9980</v>
      </c>
      <c r="BJ17" s="348"/>
      <c r="BK17" s="348"/>
      <c r="BL17" s="348"/>
      <c r="BM17" s="348"/>
      <c r="BN17" s="351">
        <f t="shared" si="7"/>
        <v>8430</v>
      </c>
      <c r="BO17" s="348"/>
      <c r="BP17" s="348"/>
      <c r="BQ17" s="348"/>
      <c r="BR17" s="348"/>
      <c r="BS17" s="351">
        <f t="shared" si="8"/>
        <v>1262</v>
      </c>
      <c r="BT17" s="348"/>
      <c r="BU17" s="348"/>
      <c r="BV17" s="348"/>
      <c r="BW17" s="348"/>
      <c r="BX17" s="351">
        <f t="shared" si="9"/>
        <v>1262</v>
      </c>
      <c r="BY17" s="348"/>
      <c r="BZ17" s="348"/>
      <c r="CA17" s="348"/>
      <c r="CB17" s="348"/>
      <c r="CC17" s="351">
        <f t="shared" si="10"/>
        <v>1035</v>
      </c>
      <c r="CD17" s="348"/>
      <c r="CE17" s="348"/>
      <c r="CF17" s="348"/>
      <c r="CG17" s="348"/>
      <c r="CH17" s="351">
        <f t="shared" si="11"/>
        <v>1035</v>
      </c>
    </row>
    <row r="19" spans="1:86" x14ac:dyDescent="0.2">
      <c r="AO19" s="347">
        <f>+AO6-AO7</f>
        <v>1745</v>
      </c>
    </row>
  </sheetData>
  <mergeCells count="18">
    <mergeCell ref="Q1:U1"/>
    <mergeCell ref="V1:Z1"/>
    <mergeCell ref="AA1:AE1"/>
    <mergeCell ref="A1:A2"/>
    <mergeCell ref="B1:F1"/>
    <mergeCell ref="G1:K1"/>
    <mergeCell ref="L1:P1"/>
    <mergeCell ref="BT1:BX1"/>
    <mergeCell ref="BY1:CC1"/>
    <mergeCell ref="CD1:CH1"/>
    <mergeCell ref="AF1:AJ1"/>
    <mergeCell ref="AK1:AO1"/>
    <mergeCell ref="AP1:AT1"/>
    <mergeCell ref="AU1:AY1"/>
    <mergeCell ref="AZ1:BD1"/>
    <mergeCell ref="BJ1:BN1"/>
    <mergeCell ref="BE1:BI1"/>
    <mergeCell ref="BO1:BS1"/>
  </mergeCells>
  <phoneticPr fontId="14" type="noConversion"/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65EC6-3F8F-4877-A7FB-F378D43039AA}">
  <dimension ref="A1:D4"/>
  <sheetViews>
    <sheetView workbookViewId="0">
      <selection activeCell="D5" sqref="D5"/>
    </sheetView>
  </sheetViews>
  <sheetFormatPr defaultRowHeight="15" x14ac:dyDescent="0.25"/>
  <cols>
    <col min="1" max="1" width="24.7109375" bestFit="1" customWidth="1"/>
    <col min="3" max="3" width="9.5703125" bestFit="1" customWidth="1"/>
    <col min="4" max="4" width="11.5703125" style="30" bestFit="1" customWidth="1"/>
  </cols>
  <sheetData>
    <row r="1" spans="1:4" x14ac:dyDescent="0.25">
      <c r="B1" t="s">
        <v>180</v>
      </c>
      <c r="C1" t="s">
        <v>513</v>
      </c>
      <c r="D1" s="30" t="s">
        <v>481</v>
      </c>
    </row>
    <row r="2" spans="1:4" x14ac:dyDescent="0.25">
      <c r="A2" t="s">
        <v>512</v>
      </c>
      <c r="B2">
        <v>2</v>
      </c>
      <c r="C2" s="30">
        <v>2000</v>
      </c>
      <c r="D2" s="30">
        <f>+B2*C2</f>
        <v>4000</v>
      </c>
    </row>
    <row r="3" spans="1:4" x14ac:dyDescent="0.25">
      <c r="A3" t="s">
        <v>514</v>
      </c>
      <c r="B3">
        <v>24</v>
      </c>
      <c r="C3">
        <f>+D3/B3</f>
        <v>1800</v>
      </c>
      <c r="D3" s="30">
        <v>43200</v>
      </c>
    </row>
    <row r="4" spans="1:4" x14ac:dyDescent="0.25">
      <c r="A4" t="s">
        <v>515</v>
      </c>
      <c r="B4">
        <v>2</v>
      </c>
      <c r="C4">
        <v>8000</v>
      </c>
      <c r="D4" s="30">
        <f>+C4*B4</f>
        <v>16000</v>
      </c>
    </row>
  </sheetData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FE655-7CF9-4D0E-A81D-7C41D5196532}">
  <sheetPr>
    <pageSetUpPr fitToPage="1"/>
  </sheetPr>
  <dimension ref="A1:AL102"/>
  <sheetViews>
    <sheetView topLeftCell="A34" zoomScale="80" zoomScaleNormal="80" workbookViewId="0">
      <selection activeCell="A93" sqref="A93:N102"/>
    </sheetView>
  </sheetViews>
  <sheetFormatPr defaultColWidth="8.85546875" defaultRowHeight="15.75" outlineLevelCol="1" x14ac:dyDescent="0.25"/>
  <cols>
    <col min="1" max="1" width="10" style="101" customWidth="1"/>
    <col min="2" max="2" width="8.7109375" style="101" customWidth="1"/>
    <col min="3" max="3" width="6.85546875" style="101" bestFit="1" customWidth="1"/>
    <col min="4" max="4" width="12" style="101" customWidth="1"/>
    <col min="5" max="5" width="17.28515625" style="101" customWidth="1"/>
    <col min="6" max="6" width="9.28515625" style="101" bestFit="1" customWidth="1"/>
    <col min="7" max="7" width="13.42578125" style="101" customWidth="1"/>
    <col min="8" max="8" width="12.42578125" style="101" bestFit="1" customWidth="1"/>
    <col min="9" max="9" width="12.42578125" style="102" bestFit="1" customWidth="1"/>
    <col min="10" max="10" width="10.7109375" style="101" customWidth="1"/>
    <col min="11" max="11" width="11.7109375" style="101" customWidth="1"/>
    <col min="12" max="12" width="9.5703125" style="101" customWidth="1" outlineLevel="1"/>
    <col min="13" max="13" width="18.5703125" style="101" customWidth="1" outlineLevel="1"/>
    <col min="14" max="14" width="16" style="101" bestFit="1" customWidth="1"/>
    <col min="15" max="15" width="16.28515625" style="103" customWidth="1"/>
    <col min="16" max="16" width="9.28515625" style="103" customWidth="1"/>
    <col min="17" max="17" width="14.42578125" style="101" bestFit="1" customWidth="1"/>
    <col min="18" max="18" width="14.28515625" style="101" customWidth="1"/>
    <col min="19" max="19" width="17" style="101" bestFit="1" customWidth="1"/>
    <col min="20" max="20" width="17.140625" style="101" customWidth="1"/>
    <col min="21" max="21" width="14.85546875" style="104" bestFit="1" customWidth="1"/>
    <col min="22" max="22" width="11.28515625" style="104" bestFit="1" customWidth="1"/>
    <col min="23" max="23" width="13.28515625" style="104" customWidth="1"/>
    <col min="24" max="24" width="18.42578125" style="101" bestFit="1" customWidth="1"/>
    <col min="25" max="25" width="17.7109375" style="102" bestFit="1" customWidth="1"/>
    <col min="26" max="26" width="17" style="101" bestFit="1" customWidth="1"/>
    <col min="27" max="27" width="16.85546875" style="101" bestFit="1" customWidth="1"/>
    <col min="28" max="28" width="14.85546875" style="101" bestFit="1" customWidth="1"/>
    <col min="29" max="29" width="15.28515625" style="101" bestFit="1" customWidth="1"/>
    <col min="30" max="30" width="16" style="101" bestFit="1" customWidth="1"/>
    <col min="31" max="31" width="15.5703125" style="101" bestFit="1" customWidth="1"/>
    <col min="32" max="32" width="15.140625" style="105" bestFit="1" customWidth="1"/>
    <col min="34" max="34" width="8.85546875" style="101"/>
    <col min="35" max="35" width="14.85546875" style="101" customWidth="1"/>
    <col min="36" max="37" width="8.85546875" style="101"/>
    <col min="38" max="38" width="11.42578125" style="101" bestFit="1" customWidth="1"/>
    <col min="39" max="16384" width="8.85546875" style="101"/>
  </cols>
  <sheetData>
    <row r="1" spans="1:35" x14ac:dyDescent="0.25">
      <c r="S1" s="101">
        <f>+(O4+Q4+R4)*0.1</f>
        <v>2155.4063608920001</v>
      </c>
      <c r="U1" s="356">
        <v>16628.8</v>
      </c>
      <c r="AG1" s="101"/>
    </row>
    <row r="2" spans="1:35" ht="63" x14ac:dyDescent="0.25">
      <c r="A2" s="110" t="s">
        <v>163</v>
      </c>
      <c r="B2" s="110" t="s">
        <v>164</v>
      </c>
      <c r="C2" s="119"/>
      <c r="D2" s="510" t="s">
        <v>157</v>
      </c>
      <c r="E2" s="510"/>
      <c r="F2" s="110" t="s">
        <v>165</v>
      </c>
      <c r="G2" s="110" t="s">
        <v>320</v>
      </c>
      <c r="H2" s="110" t="s">
        <v>368</v>
      </c>
      <c r="I2" s="120" t="s">
        <v>171</v>
      </c>
      <c r="J2" s="110" t="s">
        <v>170</v>
      </c>
      <c r="K2" s="110" t="s">
        <v>6</v>
      </c>
      <c r="L2" s="292" t="s">
        <v>385</v>
      </c>
      <c r="M2" s="292" t="s">
        <v>386</v>
      </c>
      <c r="N2" s="110" t="s">
        <v>387</v>
      </c>
      <c r="O2" s="110" t="s">
        <v>330</v>
      </c>
      <c r="P2" s="110" t="s">
        <v>389</v>
      </c>
      <c r="Q2" s="110" t="s">
        <v>390</v>
      </c>
      <c r="R2" s="110" t="s">
        <v>384</v>
      </c>
      <c r="S2" s="110" t="s">
        <v>311</v>
      </c>
      <c r="T2" s="110" t="s">
        <v>158</v>
      </c>
      <c r="U2" s="110" t="s">
        <v>369</v>
      </c>
      <c r="V2" s="122" t="s">
        <v>399</v>
      </c>
      <c r="W2" s="122" t="s">
        <v>400</v>
      </c>
      <c r="X2" s="123" t="s">
        <v>394</v>
      </c>
      <c r="Y2" s="124" t="s">
        <v>171</v>
      </c>
      <c r="Z2" s="122" t="s">
        <v>170</v>
      </c>
      <c r="AA2" s="122" t="s">
        <v>6</v>
      </c>
      <c r="AB2" s="122" t="s">
        <v>387</v>
      </c>
      <c r="AC2" s="122" t="s">
        <v>384</v>
      </c>
      <c r="AD2" s="122" t="s">
        <v>311</v>
      </c>
      <c r="AE2" s="122" t="s">
        <v>397</v>
      </c>
      <c r="AF2" s="122" t="s">
        <v>395</v>
      </c>
      <c r="AG2" s="101"/>
      <c r="AH2" s="125"/>
    </row>
    <row r="3" spans="1:35" ht="14.45" customHeight="1" x14ac:dyDescent="0.25">
      <c r="A3" s="126"/>
      <c r="B3" s="127"/>
      <c r="C3" s="127"/>
      <c r="D3" s="127"/>
      <c r="E3" s="127"/>
      <c r="F3" s="127"/>
      <c r="G3" s="127"/>
      <c r="H3" s="121">
        <v>22</v>
      </c>
      <c r="I3" s="128"/>
      <c r="J3" s="127"/>
      <c r="K3" s="127"/>
      <c r="L3" s="129"/>
      <c r="M3" s="106">
        <v>0.55000000000000004</v>
      </c>
      <c r="N3" s="130"/>
      <c r="O3" s="130"/>
      <c r="P3" s="130"/>
      <c r="Q3" s="131"/>
      <c r="R3" s="185">
        <v>0.08</v>
      </c>
      <c r="S3" s="185">
        <v>0.1</v>
      </c>
      <c r="T3" s="188"/>
      <c r="U3" s="189">
        <v>0.24</v>
      </c>
      <c r="V3" s="132"/>
      <c r="W3" s="132"/>
      <c r="X3" s="133"/>
      <c r="Y3" s="134"/>
      <c r="Z3" s="135"/>
      <c r="AA3" s="135"/>
      <c r="AB3" s="136"/>
      <c r="AC3" s="137">
        <v>0.08</v>
      </c>
      <c r="AD3" s="137">
        <v>0.1</v>
      </c>
      <c r="AE3" s="138"/>
      <c r="AF3" s="139"/>
      <c r="AG3" s="101"/>
      <c r="AH3" s="125"/>
    </row>
    <row r="4" spans="1:35" ht="15.75" customHeight="1" x14ac:dyDescent="0.25">
      <c r="A4" s="511" t="s">
        <v>148</v>
      </c>
      <c r="B4" s="517">
        <v>40</v>
      </c>
      <c r="C4" s="140">
        <v>1</v>
      </c>
      <c r="D4" s="517" t="s">
        <v>321</v>
      </c>
      <c r="E4" s="517"/>
      <c r="F4" s="140" t="s">
        <v>161</v>
      </c>
      <c r="G4" s="140">
        <v>480</v>
      </c>
      <c r="H4" s="141">
        <f t="shared" ref="H4:H10" si="0">+G4*H$3</f>
        <v>10560</v>
      </c>
      <c r="I4" s="141">
        <v>7052</v>
      </c>
      <c r="J4" s="140">
        <v>1250</v>
      </c>
      <c r="K4" s="140">
        <v>2500</v>
      </c>
      <c r="L4" s="525">
        <v>80000000</v>
      </c>
      <c r="M4" s="512">
        <f>+L4*M3</f>
        <v>44000000</v>
      </c>
      <c r="N4" s="141">
        <f t="shared" ref="N4:N10" si="1">+M$4/H4</f>
        <v>4166.666666666667</v>
      </c>
      <c r="O4" s="142">
        <f t="shared" ref="O4:O10" si="2">+N4+K4+J4+I4</f>
        <v>14968.666666666668</v>
      </c>
      <c r="P4" s="107">
        <v>0.31309999999999999</v>
      </c>
      <c r="Q4" s="143">
        <f t="shared" ref="Q4:Q10" si="3">+O4*P4</f>
        <v>4686.6895333333332</v>
      </c>
      <c r="R4" s="143">
        <f t="shared" ref="R4:R10" si="4">+(O4+Q4)*0.0966</f>
        <v>1898.7074089200003</v>
      </c>
      <c r="S4" s="355">
        <f t="shared" ref="S4:S10" si="5">+(O4+Q4+R4)*0.1</f>
        <v>2155.4063608920001</v>
      </c>
      <c r="T4" s="358">
        <f t="shared" ref="T4:T10" si="6">+Q4+O4+S4+R4</f>
        <v>23709.469969812002</v>
      </c>
      <c r="U4" s="145">
        <f>+T4*100/76</f>
        <v>31196.67101291053</v>
      </c>
      <c r="V4" s="146">
        <v>8</v>
      </c>
      <c r="W4" s="146">
        <f>+V4*G4</f>
        <v>3840</v>
      </c>
      <c r="X4" s="147">
        <f t="shared" ref="X4:X9" si="7">+W4*T4</f>
        <v>91044364.684078082</v>
      </c>
      <c r="Y4" s="141">
        <f t="shared" ref="Y4:Y10" si="8">+W4*I4</f>
        <v>27079680</v>
      </c>
      <c r="Z4" s="141">
        <f t="shared" ref="Z4:Z10" si="9">+W4*J4</f>
        <v>4800000</v>
      </c>
      <c r="AA4" s="141">
        <f t="shared" ref="AA4:AA10" si="10">+W4*K4</f>
        <v>9600000</v>
      </c>
      <c r="AB4" s="141">
        <f t="shared" ref="AB4:AB10" si="11">+W4*N4</f>
        <v>16000000.000000002</v>
      </c>
      <c r="AC4" s="141">
        <f t="shared" ref="AC4:AC10" si="12">+W4*R4</f>
        <v>7291036.4502528012</v>
      </c>
      <c r="AD4" s="141">
        <f t="shared" ref="AD4:AD10" si="13">+W4*S4</f>
        <v>8276760.4258252801</v>
      </c>
      <c r="AE4" s="141">
        <f>SUM(Y4:AD4)</f>
        <v>73047476.876078084</v>
      </c>
      <c r="AF4" s="139">
        <f t="shared" ref="AF4:AF9" si="14">+X4-AE4</f>
        <v>17996887.807999998</v>
      </c>
      <c r="AG4" s="101"/>
      <c r="AH4" s="125" t="s">
        <v>168</v>
      </c>
    </row>
    <row r="5" spans="1:35" x14ac:dyDescent="0.25">
      <c r="A5" s="511"/>
      <c r="B5" s="517"/>
      <c r="C5" s="140">
        <v>2</v>
      </c>
      <c r="D5" s="517" t="s">
        <v>322</v>
      </c>
      <c r="E5" s="517"/>
      <c r="F5" s="140" t="s">
        <v>132</v>
      </c>
      <c r="G5" s="140">
        <v>600</v>
      </c>
      <c r="H5" s="141">
        <f t="shared" si="0"/>
        <v>13200</v>
      </c>
      <c r="I5" s="141">
        <v>10463</v>
      </c>
      <c r="J5" s="140">
        <f>1615+580</f>
        <v>2195</v>
      </c>
      <c r="K5" s="140">
        <v>2080</v>
      </c>
      <c r="L5" s="526"/>
      <c r="M5" s="513"/>
      <c r="N5" s="141">
        <f t="shared" si="1"/>
        <v>3333.3333333333335</v>
      </c>
      <c r="O5" s="142">
        <f t="shared" si="2"/>
        <v>18071.333333333336</v>
      </c>
      <c r="P5" s="107">
        <v>0.30325999999999997</v>
      </c>
      <c r="Q5" s="143">
        <f t="shared" si="3"/>
        <v>5480.312546666667</v>
      </c>
      <c r="R5" s="143">
        <f t="shared" si="4"/>
        <v>2275.0889920080003</v>
      </c>
      <c r="S5" s="355">
        <f t="shared" si="5"/>
        <v>2582.6734872008005</v>
      </c>
      <c r="T5" s="358">
        <f t="shared" si="6"/>
        <v>28409.408359208806</v>
      </c>
      <c r="U5" s="145">
        <f>+T5*100/76</f>
        <v>37380.800472643168</v>
      </c>
      <c r="V5" s="146">
        <v>4</v>
      </c>
      <c r="W5" s="146">
        <f>+V5*G5</f>
        <v>2400</v>
      </c>
      <c r="X5" s="147">
        <f t="shared" si="7"/>
        <v>68182580.062101141</v>
      </c>
      <c r="Y5" s="141">
        <f t="shared" si="8"/>
        <v>25111200</v>
      </c>
      <c r="Z5" s="141">
        <f t="shared" si="9"/>
        <v>5268000</v>
      </c>
      <c r="AA5" s="141">
        <f t="shared" si="10"/>
        <v>4992000</v>
      </c>
      <c r="AB5" s="141">
        <f t="shared" si="11"/>
        <v>8000000</v>
      </c>
      <c r="AC5" s="141">
        <f t="shared" si="12"/>
        <v>5460213.5808192007</v>
      </c>
      <c r="AD5" s="141">
        <f t="shared" si="13"/>
        <v>6198416.3692819215</v>
      </c>
      <c r="AE5" s="141">
        <f>SUM(Y5:AD5)</f>
        <v>55029829.950101122</v>
      </c>
      <c r="AF5" s="139">
        <f t="shared" si="14"/>
        <v>13152750.112000018</v>
      </c>
      <c r="AG5" s="101"/>
      <c r="AH5" s="125" t="s">
        <v>168</v>
      </c>
    </row>
    <row r="6" spans="1:35" x14ac:dyDescent="0.25">
      <c r="A6" s="511"/>
      <c r="B6" s="517"/>
      <c r="C6" s="140">
        <v>3</v>
      </c>
      <c r="D6" s="517" t="s">
        <v>323</v>
      </c>
      <c r="E6" s="517"/>
      <c r="F6" s="140" t="s">
        <v>405</v>
      </c>
      <c r="G6" s="140">
        <v>600</v>
      </c>
      <c r="H6" s="141">
        <f t="shared" si="0"/>
        <v>13200</v>
      </c>
      <c r="I6" s="141">
        <v>10143</v>
      </c>
      <c r="J6" s="140">
        <f>1365+580</f>
        <v>1945</v>
      </c>
      <c r="K6" s="140">
        <v>2080</v>
      </c>
      <c r="L6" s="526"/>
      <c r="M6" s="513"/>
      <c r="N6" s="141">
        <f t="shared" si="1"/>
        <v>3333.3333333333335</v>
      </c>
      <c r="O6" s="142">
        <f t="shared" si="2"/>
        <v>17501.333333333336</v>
      </c>
      <c r="P6" s="107">
        <v>0.302477</v>
      </c>
      <c r="Q6" s="143">
        <f t="shared" si="3"/>
        <v>5293.7508026666674</v>
      </c>
      <c r="R6" s="143">
        <f t="shared" si="4"/>
        <v>2202.0051275376004</v>
      </c>
      <c r="S6" s="355">
        <f t="shared" si="5"/>
        <v>2499.7089263537605</v>
      </c>
      <c r="T6" s="358">
        <f t="shared" si="6"/>
        <v>27496.798189891364</v>
      </c>
      <c r="U6" s="145">
        <f>+T6*100/76</f>
        <v>36179.99761827811</v>
      </c>
      <c r="V6" s="146">
        <v>3</v>
      </c>
      <c r="W6" s="146">
        <f>+V6*G6</f>
        <v>1800</v>
      </c>
      <c r="X6" s="147">
        <f t="shared" si="7"/>
        <v>49494236.741804458</v>
      </c>
      <c r="Y6" s="141">
        <f t="shared" si="8"/>
        <v>18257400</v>
      </c>
      <c r="Z6" s="141">
        <f t="shared" si="9"/>
        <v>3501000</v>
      </c>
      <c r="AA6" s="141">
        <f t="shared" si="10"/>
        <v>3744000</v>
      </c>
      <c r="AB6" s="141">
        <f t="shared" si="11"/>
        <v>6000000</v>
      </c>
      <c r="AC6" s="141">
        <f t="shared" si="12"/>
        <v>3963609.2295676805</v>
      </c>
      <c r="AD6" s="141">
        <f t="shared" si="13"/>
        <v>4499476.0674367687</v>
      </c>
      <c r="AE6" s="141">
        <f>SUM(Y6:AD6)</f>
        <v>39965485.297004446</v>
      </c>
      <c r="AF6" s="139">
        <f t="shared" si="14"/>
        <v>9528751.4448000118</v>
      </c>
      <c r="AG6" s="101"/>
      <c r="AH6" s="125" t="s">
        <v>168</v>
      </c>
    </row>
    <row r="7" spans="1:35" x14ac:dyDescent="0.25">
      <c r="A7" s="511"/>
      <c r="B7" s="517"/>
      <c r="C7" s="140">
        <v>4</v>
      </c>
      <c r="D7" s="517" t="s">
        <v>488</v>
      </c>
      <c r="E7" s="517"/>
      <c r="F7" s="140" t="s">
        <v>160</v>
      </c>
      <c r="G7" s="140">
        <v>400</v>
      </c>
      <c r="H7" s="141">
        <f t="shared" si="0"/>
        <v>8800</v>
      </c>
      <c r="I7" s="141">
        <v>10070</v>
      </c>
      <c r="J7" s="140">
        <v>3000</v>
      </c>
      <c r="K7" s="140">
        <v>2500</v>
      </c>
      <c r="L7" s="526"/>
      <c r="M7" s="513"/>
      <c r="N7" s="141">
        <f t="shared" si="1"/>
        <v>5000</v>
      </c>
      <c r="O7" s="142">
        <f t="shared" si="2"/>
        <v>20570</v>
      </c>
      <c r="P7" s="107">
        <v>0.45345999999999997</v>
      </c>
      <c r="Q7" s="143">
        <f t="shared" si="3"/>
        <v>9327.6721999999991</v>
      </c>
      <c r="R7" s="143">
        <f t="shared" si="4"/>
        <v>2888.1151345200001</v>
      </c>
      <c r="S7" s="355">
        <f t="shared" si="5"/>
        <v>3278.5787334520001</v>
      </c>
      <c r="T7" s="358">
        <f t="shared" si="6"/>
        <v>36064.366067971998</v>
      </c>
      <c r="U7" s="145">
        <f>+T7*100/79.8</f>
        <v>45193.441187934834</v>
      </c>
      <c r="V7" s="146">
        <v>4</v>
      </c>
      <c r="W7" s="146">
        <f>+V7*G7</f>
        <v>1600</v>
      </c>
      <c r="X7" s="147">
        <f t="shared" si="7"/>
        <v>57702985.708755195</v>
      </c>
      <c r="Y7" s="141">
        <f t="shared" si="8"/>
        <v>16112000</v>
      </c>
      <c r="Z7" s="141">
        <f t="shared" si="9"/>
        <v>4800000</v>
      </c>
      <c r="AA7" s="141">
        <f t="shared" si="10"/>
        <v>4000000</v>
      </c>
      <c r="AB7" s="141">
        <f t="shared" si="11"/>
        <v>8000000</v>
      </c>
      <c r="AC7" s="141">
        <f t="shared" si="12"/>
        <v>4620984.2152319998</v>
      </c>
      <c r="AD7" s="141">
        <f t="shared" si="13"/>
        <v>5245725.9735232005</v>
      </c>
      <c r="AE7" s="141">
        <f>SUM(Y7:AD7)</f>
        <v>42778710.188755199</v>
      </c>
      <c r="AF7" s="139">
        <f t="shared" si="14"/>
        <v>14924275.519999996</v>
      </c>
      <c r="AG7" s="101"/>
      <c r="AH7" s="125" t="s">
        <v>168</v>
      </c>
      <c r="AI7" s="104"/>
    </row>
    <row r="8" spans="1:35" x14ac:dyDescent="0.25">
      <c r="A8" s="511"/>
      <c r="B8" s="517"/>
      <c r="C8" s="140">
        <v>5</v>
      </c>
      <c r="D8" s="517" t="s">
        <v>325</v>
      </c>
      <c r="E8" s="517"/>
      <c r="F8" s="140" t="s">
        <v>160</v>
      </c>
      <c r="G8" s="140">
        <v>400</v>
      </c>
      <c r="H8" s="141">
        <f t="shared" si="0"/>
        <v>8800</v>
      </c>
      <c r="I8" s="141">
        <v>29046</v>
      </c>
      <c r="J8" s="140">
        <v>3000</v>
      </c>
      <c r="K8" s="140">
        <f>1050000/300</f>
        <v>3500</v>
      </c>
      <c r="L8" s="526"/>
      <c r="M8" s="513"/>
      <c r="N8" s="141">
        <f t="shared" si="1"/>
        <v>5000</v>
      </c>
      <c r="O8" s="142">
        <f t="shared" si="2"/>
        <v>40546</v>
      </c>
      <c r="P8" s="107">
        <v>0.46526000000000001</v>
      </c>
      <c r="Q8" s="143">
        <f t="shared" si="3"/>
        <v>18864.431960000002</v>
      </c>
      <c r="R8" s="143">
        <f t="shared" si="4"/>
        <v>5739.0477273360002</v>
      </c>
      <c r="S8" s="355">
        <f t="shared" si="5"/>
        <v>6514.9479687336006</v>
      </c>
      <c r="T8" s="358">
        <f t="shared" si="6"/>
        <v>71664.427656069602</v>
      </c>
      <c r="U8" s="145">
        <f>+T8*100/80</f>
        <v>89580.534570087009</v>
      </c>
      <c r="V8" s="146">
        <v>3</v>
      </c>
      <c r="W8" s="146">
        <f>+V8*G8</f>
        <v>1200</v>
      </c>
      <c r="X8" s="147">
        <f t="shared" si="7"/>
        <v>85997313.187283516</v>
      </c>
      <c r="Y8" s="141">
        <f t="shared" si="8"/>
        <v>34855200</v>
      </c>
      <c r="Z8" s="141">
        <f t="shared" si="9"/>
        <v>3600000</v>
      </c>
      <c r="AA8" s="141">
        <f t="shared" si="10"/>
        <v>4200000</v>
      </c>
      <c r="AB8" s="141">
        <f t="shared" si="11"/>
        <v>6000000</v>
      </c>
      <c r="AC8" s="141">
        <f t="shared" si="12"/>
        <v>6886857.2728032004</v>
      </c>
      <c r="AD8" s="141">
        <f t="shared" si="13"/>
        <v>7817937.5624803212</v>
      </c>
      <c r="AE8" s="141">
        <f>SUM(Y8:AD8)</f>
        <v>63359994.835283525</v>
      </c>
      <c r="AF8" s="139">
        <f t="shared" si="14"/>
        <v>22637318.351999991</v>
      </c>
      <c r="AG8" s="101"/>
      <c r="AH8" s="125" t="s">
        <v>169</v>
      </c>
    </row>
    <row r="9" spans="1:35" x14ac:dyDescent="0.25">
      <c r="A9" s="511"/>
      <c r="B9" s="517"/>
      <c r="C9" s="140">
        <v>6</v>
      </c>
      <c r="D9" s="517" t="s">
        <v>325</v>
      </c>
      <c r="E9" s="517"/>
      <c r="F9" s="140" t="s">
        <v>378</v>
      </c>
      <c r="G9" s="140">
        <v>1000</v>
      </c>
      <c r="H9" s="141">
        <f t="shared" si="0"/>
        <v>22000</v>
      </c>
      <c r="I9" s="141">
        <v>10196</v>
      </c>
      <c r="J9" s="140">
        <v>2350</v>
      </c>
      <c r="K9" s="140">
        <v>1250</v>
      </c>
      <c r="L9" s="526"/>
      <c r="M9" s="513"/>
      <c r="N9" s="141">
        <f t="shared" si="1"/>
        <v>2000</v>
      </c>
      <c r="O9" s="142">
        <f t="shared" si="2"/>
        <v>15796</v>
      </c>
      <c r="P9" s="107">
        <v>0.51</v>
      </c>
      <c r="Q9" s="143">
        <f t="shared" si="3"/>
        <v>8055.96</v>
      </c>
      <c r="R9" s="143">
        <f t="shared" si="4"/>
        <v>2304.0993360000002</v>
      </c>
      <c r="S9" s="355">
        <f t="shared" si="5"/>
        <v>2615.6059335999998</v>
      </c>
      <c r="T9" s="358">
        <f t="shared" si="6"/>
        <v>28771.665269599998</v>
      </c>
      <c r="U9" s="145">
        <f>+T9*100/80</f>
        <v>35964.581587000001</v>
      </c>
      <c r="V9" s="145"/>
      <c r="W9" s="145"/>
      <c r="X9" s="147">
        <f t="shared" si="7"/>
        <v>0</v>
      </c>
      <c r="Y9" s="141">
        <f t="shared" si="8"/>
        <v>0</v>
      </c>
      <c r="Z9" s="141">
        <f t="shared" si="9"/>
        <v>0</v>
      </c>
      <c r="AA9" s="141">
        <f t="shared" si="10"/>
        <v>0</v>
      </c>
      <c r="AB9" s="141">
        <f t="shared" si="11"/>
        <v>0</v>
      </c>
      <c r="AC9" s="141">
        <f t="shared" si="12"/>
        <v>0</v>
      </c>
      <c r="AD9" s="141">
        <f t="shared" si="13"/>
        <v>0</v>
      </c>
      <c r="AE9" s="140"/>
      <c r="AF9" s="139">
        <f t="shared" si="14"/>
        <v>0</v>
      </c>
      <c r="AG9" s="101"/>
      <c r="AH9" s="125"/>
    </row>
    <row r="10" spans="1:35" x14ac:dyDescent="0.25">
      <c r="A10" s="282"/>
      <c r="B10" s="283"/>
      <c r="C10" s="279">
        <v>7</v>
      </c>
      <c r="D10" s="517" t="s">
        <v>488</v>
      </c>
      <c r="E10" s="517"/>
      <c r="F10" s="279" t="s">
        <v>378</v>
      </c>
      <c r="G10" s="279">
        <v>1000</v>
      </c>
      <c r="H10" s="280">
        <f t="shared" si="0"/>
        <v>22000</v>
      </c>
      <c r="I10" s="280">
        <v>5034.8739999999998</v>
      </c>
      <c r="J10" s="279">
        <v>2350</v>
      </c>
      <c r="K10" s="279">
        <v>1250</v>
      </c>
      <c r="L10" s="526"/>
      <c r="M10" s="514"/>
      <c r="N10" s="280">
        <f t="shared" si="1"/>
        <v>2000</v>
      </c>
      <c r="O10" s="142">
        <f t="shared" si="2"/>
        <v>10634.874</v>
      </c>
      <c r="P10" s="107">
        <v>0.40200000000000002</v>
      </c>
      <c r="Q10" s="143">
        <f t="shared" si="3"/>
        <v>4275.2193480000005</v>
      </c>
      <c r="R10" s="143">
        <f t="shared" si="4"/>
        <v>1440.3150174168002</v>
      </c>
      <c r="S10" s="355">
        <f t="shared" si="5"/>
        <v>1635.0408365416802</v>
      </c>
      <c r="T10" s="358">
        <f t="shared" si="6"/>
        <v>17985.44920195848</v>
      </c>
      <c r="U10" s="145">
        <f>+T10*100/80</f>
        <v>22481.811502448101</v>
      </c>
      <c r="V10" s="145"/>
      <c r="W10" s="145"/>
      <c r="X10" s="147">
        <f>+W10*T10</f>
        <v>0</v>
      </c>
      <c r="Y10" s="280">
        <f t="shared" si="8"/>
        <v>0</v>
      </c>
      <c r="Z10" s="280">
        <f t="shared" si="9"/>
        <v>0</v>
      </c>
      <c r="AA10" s="280">
        <f t="shared" si="10"/>
        <v>0</v>
      </c>
      <c r="AB10" s="280">
        <f t="shared" si="11"/>
        <v>0</v>
      </c>
      <c r="AC10" s="280">
        <f t="shared" si="12"/>
        <v>0</v>
      </c>
      <c r="AD10" s="280">
        <f t="shared" si="13"/>
        <v>0</v>
      </c>
      <c r="AE10" s="279"/>
      <c r="AF10" s="139">
        <f>+X10-AE10</f>
        <v>0</v>
      </c>
      <c r="AG10" s="101"/>
      <c r="AH10" s="125"/>
    </row>
    <row r="11" spans="1:35" ht="14.45" customHeight="1" x14ac:dyDescent="0.25">
      <c r="A11" s="182" t="s">
        <v>166</v>
      </c>
      <c r="B11" s="148"/>
      <c r="C11" s="148"/>
      <c r="D11" s="148"/>
      <c r="E11" s="148"/>
      <c r="F11" s="148"/>
      <c r="G11" s="148"/>
      <c r="H11" s="148"/>
      <c r="I11" s="149"/>
      <c r="J11" s="148">
        <f>4*40*2.3/0.9</f>
        <v>408.88888888888886</v>
      </c>
      <c r="K11" s="148">
        <f>500000/350</f>
        <v>1428.5714285714287</v>
      </c>
      <c r="L11" s="526"/>
      <c r="M11" s="180">
        <v>0.1</v>
      </c>
      <c r="N11" s="150"/>
      <c r="O11" s="150"/>
      <c r="P11" s="150"/>
      <c r="Q11" s="150"/>
      <c r="R11" s="150"/>
      <c r="S11" s="150"/>
      <c r="T11" s="150"/>
      <c r="U11" s="150"/>
      <c r="V11" s="151">
        <f>SUM(V4:V9)</f>
        <v>22</v>
      </c>
      <c r="W11" s="151">
        <f>SUM(W4:W9)</f>
        <v>10840</v>
      </c>
      <c r="X11" s="151">
        <f>SUM(X4:X10)</f>
        <v>352421480.38402236</v>
      </c>
      <c r="Y11" s="151">
        <f t="shared" ref="Y11:AF11" si="15">SUM(Y4:Y10)</f>
        <v>121415480</v>
      </c>
      <c r="Z11" s="151">
        <f t="shared" si="15"/>
        <v>21969000</v>
      </c>
      <c r="AA11" s="151">
        <f t="shared" si="15"/>
        <v>26536000</v>
      </c>
      <c r="AB11" s="151">
        <f t="shared" si="15"/>
        <v>44000000</v>
      </c>
      <c r="AC11" s="151">
        <f t="shared" si="15"/>
        <v>28222700.748674884</v>
      </c>
      <c r="AD11" s="151">
        <f t="shared" si="15"/>
        <v>32038316.398547493</v>
      </c>
      <c r="AE11" s="151">
        <f t="shared" si="15"/>
        <v>274181497.1472224</v>
      </c>
      <c r="AF11" s="151">
        <f t="shared" si="15"/>
        <v>78239983.236800015</v>
      </c>
      <c r="AG11" s="101"/>
      <c r="AH11" s="125"/>
    </row>
    <row r="12" spans="1:35" x14ac:dyDescent="0.25">
      <c r="A12" s="515" t="s">
        <v>149</v>
      </c>
      <c r="B12" s="506">
        <v>20</v>
      </c>
      <c r="C12" s="152">
        <v>1</v>
      </c>
      <c r="D12" s="506" t="s">
        <v>150</v>
      </c>
      <c r="E12" s="152" t="s">
        <v>153</v>
      </c>
      <c r="F12" s="152" t="s">
        <v>159</v>
      </c>
      <c r="G12" s="152">
        <v>400</v>
      </c>
      <c r="H12" s="152">
        <f>+G12*H$3</f>
        <v>8800</v>
      </c>
      <c r="I12" s="153">
        <v>8441</v>
      </c>
      <c r="J12" s="152">
        <v>620</v>
      </c>
      <c r="K12" s="152">
        <v>1500</v>
      </c>
      <c r="L12" s="526"/>
      <c r="M12" s="507">
        <f>+L4*M11</f>
        <v>8000000</v>
      </c>
      <c r="N12" s="153">
        <f t="shared" ref="N12:N21" si="16">+M$12/H12</f>
        <v>909.09090909090912</v>
      </c>
      <c r="O12" s="154">
        <f>+N12+K12+J12+I12</f>
        <v>11470.090909090908</v>
      </c>
      <c r="P12" s="108">
        <v>0.443548</v>
      </c>
      <c r="Q12" s="155">
        <f>+O12*P12</f>
        <v>5087.5358825454541</v>
      </c>
      <c r="R12" s="155">
        <f t="shared" ref="R12:R21" si="17">+(O12+Q12)*0.0966</f>
        <v>1599.4667480720725</v>
      </c>
      <c r="S12" s="366">
        <f>+(+O12+Q12+R12)*0.1</f>
        <v>1815.7093539708433</v>
      </c>
      <c r="T12" s="367">
        <f t="shared" ref="T12:T21" si="18">+O12+Q12+S12+R12</f>
        <v>19972.802893679276</v>
      </c>
      <c r="U12" s="157">
        <f>+T12*100/76</f>
        <v>26280.003807472734</v>
      </c>
      <c r="V12" s="157">
        <v>4</v>
      </c>
      <c r="W12" s="157">
        <f>+V12*G12</f>
        <v>1600</v>
      </c>
      <c r="X12" s="116">
        <f t="shared" ref="X12:X21" si="19">+W12*T12</f>
        <v>31956484.629886843</v>
      </c>
      <c r="Y12" s="153">
        <f>+W12*I12</f>
        <v>13505600</v>
      </c>
      <c r="Z12" s="153">
        <f>+W12*J12</f>
        <v>992000</v>
      </c>
      <c r="AA12" s="153">
        <f>+W12*K12</f>
        <v>2400000</v>
      </c>
      <c r="AB12" s="153">
        <f>+W12*N12</f>
        <v>1454545.4545454546</v>
      </c>
      <c r="AC12" s="152">
        <f>+W12*R12</f>
        <v>2559146.796915316</v>
      </c>
      <c r="AD12" s="153">
        <f>+W12*S12</f>
        <v>2905134.9663533494</v>
      </c>
      <c r="AE12" s="152">
        <f t="shared" ref="AE12:AE21" si="20">SUM(Y12:AD12)</f>
        <v>23816427.217814118</v>
      </c>
      <c r="AF12" s="139">
        <f t="shared" ref="AF12:AF21" si="21">+X12-AE12</f>
        <v>8140057.4120727256</v>
      </c>
      <c r="AG12" s="101"/>
      <c r="AH12" s="125" t="s">
        <v>168</v>
      </c>
    </row>
    <row r="13" spans="1:35" x14ac:dyDescent="0.25">
      <c r="A13" s="515"/>
      <c r="B13" s="506"/>
      <c r="C13" s="152">
        <v>2</v>
      </c>
      <c r="D13" s="506"/>
      <c r="E13" s="152" t="s">
        <v>154</v>
      </c>
      <c r="F13" s="152" t="s">
        <v>159</v>
      </c>
      <c r="G13" s="152">
        <v>400</v>
      </c>
      <c r="H13" s="152">
        <f t="shared" ref="H13:H21" si="22">+G13*H$3</f>
        <v>8800</v>
      </c>
      <c r="I13" s="153">
        <v>6840</v>
      </c>
      <c r="J13" s="152">
        <v>620</v>
      </c>
      <c r="K13" s="152">
        <v>1500</v>
      </c>
      <c r="L13" s="526"/>
      <c r="M13" s="507"/>
      <c r="N13" s="153">
        <f t="shared" si="16"/>
        <v>909.09090909090912</v>
      </c>
      <c r="O13" s="154">
        <f t="shared" ref="O13:O19" si="23">+N13+K13+J13+I13</f>
        <v>9869.0909090909081</v>
      </c>
      <c r="P13" s="108">
        <v>0.47982000000000002</v>
      </c>
      <c r="Q13" s="155">
        <f t="shared" ref="Q13:Q21" si="24">+O13*P13</f>
        <v>4735.3872000000001</v>
      </c>
      <c r="R13" s="155">
        <f t="shared" si="17"/>
        <v>1410.7925853381819</v>
      </c>
      <c r="S13" s="366">
        <f t="shared" ref="S13:S19" si="25">+(+O13+Q13+R13)*0.1</f>
        <v>1601.5270694429091</v>
      </c>
      <c r="T13" s="367">
        <f t="shared" si="18"/>
        <v>17616.797763872</v>
      </c>
      <c r="U13" s="157">
        <f>+T13*100/76</f>
        <v>23179.997057726316</v>
      </c>
      <c r="V13" s="157">
        <v>4</v>
      </c>
      <c r="W13" s="157">
        <f>+V13*G13</f>
        <v>1600</v>
      </c>
      <c r="X13" s="116">
        <f t="shared" si="19"/>
        <v>28186876.4221952</v>
      </c>
      <c r="Y13" s="153">
        <f t="shared" ref="Y13:Y21" si="26">+W13*I13</f>
        <v>10944000</v>
      </c>
      <c r="Z13" s="153">
        <f t="shared" ref="Z13:Z21" si="27">+W13*J13</f>
        <v>992000</v>
      </c>
      <c r="AA13" s="153">
        <f t="shared" ref="AA13:AA21" si="28">+W13*K13</f>
        <v>2400000</v>
      </c>
      <c r="AB13" s="153">
        <f t="shared" ref="AB13:AB21" si="29">+W13*N13</f>
        <v>1454545.4545454546</v>
      </c>
      <c r="AC13" s="152">
        <f t="shared" ref="AC13:AC21" si="30">+W13*R13</f>
        <v>2257268.1365410909</v>
      </c>
      <c r="AD13" s="153">
        <f t="shared" ref="AD13:AD21" si="31">+W13*S13</f>
        <v>2562443.3111086544</v>
      </c>
      <c r="AE13" s="152">
        <f t="shared" si="20"/>
        <v>20610256.9021952</v>
      </c>
      <c r="AF13" s="139">
        <f t="shared" si="21"/>
        <v>7576619.5199999996</v>
      </c>
      <c r="AG13" s="101"/>
      <c r="AH13" s="125" t="s">
        <v>168</v>
      </c>
    </row>
    <row r="14" spans="1:35" x14ac:dyDescent="0.25">
      <c r="A14" s="515"/>
      <c r="B14" s="506"/>
      <c r="C14" s="377">
        <v>3</v>
      </c>
      <c r="D14" s="506"/>
      <c r="E14" s="152" t="s">
        <v>155</v>
      </c>
      <c r="F14" s="152" t="s">
        <v>159</v>
      </c>
      <c r="G14" s="152">
        <v>350</v>
      </c>
      <c r="H14" s="152">
        <f t="shared" si="22"/>
        <v>7700</v>
      </c>
      <c r="I14" s="153">
        <v>3771.33</v>
      </c>
      <c r="J14" s="152">
        <v>620</v>
      </c>
      <c r="K14" s="152">
        <v>2000</v>
      </c>
      <c r="L14" s="526"/>
      <c r="M14" s="507"/>
      <c r="N14" s="153">
        <f t="shared" si="16"/>
        <v>1038.9610389610389</v>
      </c>
      <c r="O14" s="154">
        <f t="shared" si="23"/>
        <v>7430.2910389610388</v>
      </c>
      <c r="P14" s="108">
        <v>0.48220499999999999</v>
      </c>
      <c r="Q14" s="155">
        <f t="shared" si="24"/>
        <v>3582.9234904422078</v>
      </c>
      <c r="R14" s="155">
        <f t="shared" si="17"/>
        <v>1063.8765235403537</v>
      </c>
      <c r="S14" s="366">
        <f t="shared" si="25"/>
        <v>1207.7091052943601</v>
      </c>
      <c r="T14" s="367">
        <f t="shared" si="18"/>
        <v>13284.80015823796</v>
      </c>
      <c r="U14" s="157">
        <f>+T14*100/76</f>
        <v>17480.000208207843</v>
      </c>
      <c r="V14" s="157">
        <v>4</v>
      </c>
      <c r="W14" s="157">
        <f>+V14*G14</f>
        <v>1400</v>
      </c>
      <c r="X14" s="116">
        <f t="shared" si="19"/>
        <v>18598720.221533146</v>
      </c>
      <c r="Y14" s="153">
        <f>+W14*I14</f>
        <v>5279862</v>
      </c>
      <c r="Z14" s="153">
        <f>+W14*J14</f>
        <v>868000</v>
      </c>
      <c r="AA14" s="153">
        <f>+W14*K14</f>
        <v>2800000</v>
      </c>
      <c r="AB14" s="153">
        <f>+W14*N14</f>
        <v>1454545.4545454544</v>
      </c>
      <c r="AC14" s="152">
        <f>+W14*R14</f>
        <v>1489427.132956495</v>
      </c>
      <c r="AD14" s="153">
        <f>+W14*S14</f>
        <v>1690792.7474121042</v>
      </c>
      <c r="AE14" s="152">
        <f t="shared" si="20"/>
        <v>13582627.334914055</v>
      </c>
      <c r="AF14" s="139">
        <f t="shared" si="21"/>
        <v>5016092.886619091</v>
      </c>
      <c r="AG14" s="101"/>
      <c r="AH14" s="125" t="s">
        <v>168</v>
      </c>
    </row>
    <row r="15" spans="1:35" x14ac:dyDescent="0.25">
      <c r="A15" s="515"/>
      <c r="B15" s="506"/>
      <c r="C15" s="377">
        <v>4</v>
      </c>
      <c r="D15" s="506" t="s">
        <v>150</v>
      </c>
      <c r="E15" s="377" t="s">
        <v>153</v>
      </c>
      <c r="F15" s="377" t="s">
        <v>532</v>
      </c>
      <c r="G15" s="377">
        <v>400</v>
      </c>
      <c r="H15" s="377">
        <f>+G15*H$3</f>
        <v>8800</v>
      </c>
      <c r="I15" s="376">
        <f>+I12*5</f>
        <v>42205</v>
      </c>
      <c r="J15" s="377">
        <v>425</v>
      </c>
      <c r="K15" s="377">
        <f>+K12*5</f>
        <v>7500</v>
      </c>
      <c r="L15" s="526"/>
      <c r="M15" s="507"/>
      <c r="N15" s="376">
        <f t="shared" si="16"/>
        <v>909.09090909090912</v>
      </c>
      <c r="O15" s="154">
        <f>+N15+K15+J15+I15</f>
        <v>51039.090909090912</v>
      </c>
      <c r="P15" s="108">
        <v>0.443548</v>
      </c>
      <c r="Q15" s="155">
        <f>+O15*P15</f>
        <v>22638.286694545455</v>
      </c>
      <c r="R15" s="155">
        <f>+(O15+Q15)*0.0966</f>
        <v>7117.2346765112734</v>
      </c>
      <c r="S15" s="366">
        <f>+(+O15+Q15+R15)*0.1</f>
        <v>8079.4612280147649</v>
      </c>
      <c r="T15" s="367">
        <f t="shared" si="18"/>
        <v>88874.073508162415</v>
      </c>
      <c r="U15" s="157">
        <f>+T15*100/80</f>
        <v>111092.59188520303</v>
      </c>
      <c r="V15" s="157"/>
      <c r="W15" s="157"/>
      <c r="X15" s="116"/>
      <c r="Y15" s="376"/>
      <c r="Z15" s="376"/>
      <c r="AA15" s="376"/>
      <c r="AB15" s="376"/>
      <c r="AC15" s="377"/>
      <c r="AD15" s="376"/>
      <c r="AE15" s="377"/>
      <c r="AF15" s="139"/>
      <c r="AG15" s="101"/>
      <c r="AH15" s="125"/>
    </row>
    <row r="16" spans="1:35" x14ac:dyDescent="0.25">
      <c r="A16" s="515"/>
      <c r="B16" s="506"/>
      <c r="C16" s="377">
        <v>5</v>
      </c>
      <c r="D16" s="506"/>
      <c r="E16" s="377" t="s">
        <v>154</v>
      </c>
      <c r="F16" s="377" t="s">
        <v>532</v>
      </c>
      <c r="G16" s="377">
        <v>400</v>
      </c>
      <c r="H16" s="377">
        <f>+G16*H$3</f>
        <v>8800</v>
      </c>
      <c r="I16" s="376">
        <f>+I13*5</f>
        <v>34200</v>
      </c>
      <c r="J16" s="377">
        <v>425</v>
      </c>
      <c r="K16" s="377">
        <f>+K13*5</f>
        <v>7500</v>
      </c>
      <c r="L16" s="526"/>
      <c r="M16" s="507"/>
      <c r="N16" s="376">
        <f t="shared" si="16"/>
        <v>909.09090909090912</v>
      </c>
      <c r="O16" s="154">
        <f>+N16+K16+J16+I16</f>
        <v>43034.090909090912</v>
      </c>
      <c r="P16" s="108">
        <v>0.47982000000000002</v>
      </c>
      <c r="Q16" s="155">
        <f>+O16*P16</f>
        <v>20648.617500000004</v>
      </c>
      <c r="R16" s="155">
        <f>+(O16+Q16)*0.0966</f>
        <v>6151.7496323181831</v>
      </c>
      <c r="S16" s="366">
        <f>+(+O16+Q16+R16)*0.1</f>
        <v>6983.4458041409107</v>
      </c>
      <c r="T16" s="367">
        <f t="shared" si="18"/>
        <v>76817.903845550012</v>
      </c>
      <c r="U16" s="157">
        <f>+T16*100/80</f>
        <v>96022.379806937504</v>
      </c>
      <c r="V16" s="157"/>
      <c r="W16" s="157"/>
      <c r="X16" s="116"/>
      <c r="Y16" s="376"/>
      <c r="Z16" s="376"/>
      <c r="AA16" s="376"/>
      <c r="AB16" s="376"/>
      <c r="AC16" s="377"/>
      <c r="AD16" s="376"/>
      <c r="AE16" s="377"/>
      <c r="AF16" s="139"/>
      <c r="AG16" s="101"/>
      <c r="AH16" s="125"/>
    </row>
    <row r="17" spans="1:38" x14ac:dyDescent="0.25">
      <c r="A17" s="515"/>
      <c r="B17" s="506"/>
      <c r="C17" s="377">
        <v>6</v>
      </c>
      <c r="D17" s="506"/>
      <c r="E17" s="377" t="s">
        <v>155</v>
      </c>
      <c r="F17" s="377" t="s">
        <v>532</v>
      </c>
      <c r="G17" s="377">
        <v>350</v>
      </c>
      <c r="H17" s="377">
        <f>+G17*H$3</f>
        <v>7700</v>
      </c>
      <c r="I17" s="376">
        <f>+I14*5</f>
        <v>18856.650000000001</v>
      </c>
      <c r="J17" s="377">
        <v>425</v>
      </c>
      <c r="K17" s="377">
        <f>+K14*5</f>
        <v>10000</v>
      </c>
      <c r="L17" s="526"/>
      <c r="M17" s="507"/>
      <c r="N17" s="376">
        <f t="shared" si="16"/>
        <v>1038.9610389610389</v>
      </c>
      <c r="O17" s="154">
        <f>+N17+K17+J17+I17</f>
        <v>30320.61103896104</v>
      </c>
      <c r="P17" s="108">
        <v>0.48220499999999999</v>
      </c>
      <c r="Q17" s="155">
        <f>+O17*P17</f>
        <v>14620.750246042207</v>
      </c>
      <c r="R17" s="155">
        <f>+(O17+Q17)*0.0966</f>
        <v>4341.3355001313139</v>
      </c>
      <c r="S17" s="366">
        <f>+(+O17+Q17+R17)*0.1</f>
        <v>4928.2696785134576</v>
      </c>
      <c r="T17" s="367">
        <f t="shared" si="18"/>
        <v>54210.96646364803</v>
      </c>
      <c r="U17" s="157">
        <f>+T17*100/80</f>
        <v>67763.708079560049</v>
      </c>
      <c r="V17" s="157"/>
      <c r="W17" s="157"/>
      <c r="X17" s="116"/>
      <c r="Y17" s="376"/>
      <c r="Z17" s="376"/>
      <c r="AA17" s="376"/>
      <c r="AB17" s="376"/>
      <c r="AC17" s="377"/>
      <c r="AD17" s="376"/>
      <c r="AE17" s="377"/>
      <c r="AF17" s="139"/>
      <c r="AG17" s="101"/>
      <c r="AH17" s="125"/>
    </row>
    <row r="18" spans="1:38" x14ac:dyDescent="0.25">
      <c r="A18" s="516"/>
      <c r="B18" s="506"/>
      <c r="C18" s="377">
        <v>7</v>
      </c>
      <c r="D18" s="506" t="s">
        <v>326</v>
      </c>
      <c r="E18" s="506"/>
      <c r="F18" s="152" t="s">
        <v>133</v>
      </c>
      <c r="G18" s="152">
        <v>300</v>
      </c>
      <c r="H18" s="152">
        <f t="shared" si="22"/>
        <v>6600</v>
      </c>
      <c r="I18" s="153">
        <v>10945.43</v>
      </c>
      <c r="J18" s="152">
        <v>2062</v>
      </c>
      <c r="K18" s="152">
        <v>3000</v>
      </c>
      <c r="L18" s="526"/>
      <c r="M18" s="507"/>
      <c r="N18" s="153">
        <f t="shared" si="16"/>
        <v>1212.121212121212</v>
      </c>
      <c r="O18" s="154">
        <f t="shared" si="23"/>
        <v>17219.551212121212</v>
      </c>
      <c r="P18" s="108">
        <v>0.2652487</v>
      </c>
      <c r="Q18" s="155">
        <f t="shared" si="24"/>
        <v>4567.4635735985757</v>
      </c>
      <c r="R18" s="155">
        <f t="shared" si="17"/>
        <v>2104.6256283005318</v>
      </c>
      <c r="S18" s="366">
        <f t="shared" si="25"/>
        <v>2389.1640414020321</v>
      </c>
      <c r="T18" s="367">
        <f t="shared" si="18"/>
        <v>26280.804455422352</v>
      </c>
      <c r="U18" s="157">
        <f>+T18*100/80</f>
        <v>32851.005569277942</v>
      </c>
      <c r="V18" s="157">
        <v>6</v>
      </c>
      <c r="W18" s="157">
        <f>+V18*G18</f>
        <v>1800</v>
      </c>
      <c r="X18" s="116">
        <f t="shared" si="19"/>
        <v>47305448.019760236</v>
      </c>
      <c r="Y18" s="153">
        <f t="shared" si="26"/>
        <v>19701774</v>
      </c>
      <c r="Z18" s="153">
        <f t="shared" si="27"/>
        <v>3711600</v>
      </c>
      <c r="AA18" s="153">
        <f t="shared" si="28"/>
        <v>5400000</v>
      </c>
      <c r="AB18" s="153">
        <f t="shared" si="29"/>
        <v>2181818.1818181816</v>
      </c>
      <c r="AC18" s="152">
        <f t="shared" si="30"/>
        <v>3788326.1309409575</v>
      </c>
      <c r="AD18" s="153">
        <f t="shared" si="31"/>
        <v>4300495.2745236577</v>
      </c>
      <c r="AE18" s="152">
        <f t="shared" si="20"/>
        <v>39084013.587282799</v>
      </c>
      <c r="AF18" s="139">
        <f t="shared" si="21"/>
        <v>8221434.432477437</v>
      </c>
      <c r="AG18" s="101"/>
      <c r="AH18" s="125" t="s">
        <v>168</v>
      </c>
    </row>
    <row r="19" spans="1:38" x14ac:dyDescent="0.25">
      <c r="A19" s="516"/>
      <c r="B19" s="506"/>
      <c r="C19" s="377">
        <v>8</v>
      </c>
      <c r="D19" s="506" t="s">
        <v>327</v>
      </c>
      <c r="E19" s="506"/>
      <c r="F19" s="152" t="s">
        <v>159</v>
      </c>
      <c r="G19" s="152">
        <v>400</v>
      </c>
      <c r="H19" s="152">
        <f t="shared" si="22"/>
        <v>8800</v>
      </c>
      <c r="I19" s="153">
        <v>9008</v>
      </c>
      <c r="J19" s="152">
        <v>620</v>
      </c>
      <c r="K19" s="152">
        <v>1000</v>
      </c>
      <c r="L19" s="526"/>
      <c r="M19" s="507"/>
      <c r="N19" s="153">
        <f t="shared" si="16"/>
        <v>909.09090909090912</v>
      </c>
      <c r="O19" s="154">
        <f t="shared" si="23"/>
        <v>11537.090909090908</v>
      </c>
      <c r="P19" s="108">
        <v>0.194878</v>
      </c>
      <c r="Q19" s="155">
        <f t="shared" si="24"/>
        <v>2248.325202181818</v>
      </c>
      <c r="R19" s="155">
        <f t="shared" si="17"/>
        <v>1331.6711963489456</v>
      </c>
      <c r="S19" s="366">
        <f t="shared" si="25"/>
        <v>1511.7087307621673</v>
      </c>
      <c r="T19" s="367">
        <f t="shared" si="18"/>
        <v>16628.79603838384</v>
      </c>
      <c r="U19" s="157">
        <f>+T19*100/80</f>
        <v>20785.995047979799</v>
      </c>
      <c r="V19" s="157">
        <v>4</v>
      </c>
      <c r="W19" s="157">
        <f>+V19*G19</f>
        <v>1600</v>
      </c>
      <c r="X19" s="116">
        <f t="shared" si="19"/>
        <v>26606073.661414143</v>
      </c>
      <c r="Y19" s="153">
        <f t="shared" si="26"/>
        <v>14412800</v>
      </c>
      <c r="Z19" s="153">
        <f t="shared" si="27"/>
        <v>992000</v>
      </c>
      <c r="AA19" s="153">
        <f t="shared" si="28"/>
        <v>1600000</v>
      </c>
      <c r="AB19" s="153">
        <f t="shared" si="29"/>
        <v>1454545.4545454546</v>
      </c>
      <c r="AC19" s="152">
        <f t="shared" si="30"/>
        <v>2130673.9141583131</v>
      </c>
      <c r="AD19" s="153">
        <f t="shared" si="31"/>
        <v>2418733.9692194676</v>
      </c>
      <c r="AE19" s="152">
        <f t="shared" si="20"/>
        <v>23008753.337923236</v>
      </c>
      <c r="AF19" s="139">
        <f t="shared" si="21"/>
        <v>3597320.3234909065</v>
      </c>
      <c r="AG19" s="101"/>
      <c r="AH19" s="125" t="s">
        <v>168</v>
      </c>
    </row>
    <row r="20" spans="1:38" x14ac:dyDescent="0.25">
      <c r="A20" s="516"/>
      <c r="B20" s="506"/>
      <c r="C20" s="377">
        <v>9</v>
      </c>
      <c r="D20" s="506" t="s">
        <v>327</v>
      </c>
      <c r="E20" s="506"/>
      <c r="F20" s="378" t="s">
        <v>532</v>
      </c>
      <c r="G20" s="377">
        <v>401</v>
      </c>
      <c r="H20" s="377">
        <v>8800</v>
      </c>
      <c r="I20" s="159">
        <f>+I19*5</f>
        <v>45040</v>
      </c>
      <c r="J20" s="378">
        <v>425</v>
      </c>
      <c r="K20" s="378">
        <f>+K19*5</f>
        <v>5000</v>
      </c>
      <c r="L20" s="526"/>
      <c r="M20" s="507"/>
      <c r="N20" s="376">
        <f t="shared" si="16"/>
        <v>909.09090909090912</v>
      </c>
      <c r="O20" s="154">
        <f>+N20+K20+J20+I20</f>
        <v>51374.090909090912</v>
      </c>
      <c r="P20" s="108">
        <v>0.2</v>
      </c>
      <c r="Q20" s="155">
        <f>+O20*P20</f>
        <v>10274.818181818184</v>
      </c>
      <c r="R20" s="155">
        <f>+(O20+Q20)*0.0966</f>
        <v>5955.2846181818186</v>
      </c>
      <c r="S20" s="366">
        <f>+(+O20+Q20+R20)*0.1</f>
        <v>6760.4193709090923</v>
      </c>
      <c r="T20" s="367">
        <f t="shared" si="18"/>
        <v>74364.61308000001</v>
      </c>
      <c r="U20" s="157">
        <f>+T20*100/76</f>
        <v>97848.175105263173</v>
      </c>
      <c r="V20" s="157"/>
      <c r="W20" s="157"/>
      <c r="X20" s="116"/>
      <c r="Y20" s="376"/>
      <c r="Z20" s="376"/>
      <c r="AA20" s="376"/>
      <c r="AB20" s="376"/>
      <c r="AC20" s="377"/>
      <c r="AD20" s="376"/>
      <c r="AE20" s="377"/>
      <c r="AF20" s="139"/>
      <c r="AG20" s="101"/>
      <c r="AH20" s="125"/>
    </row>
    <row r="21" spans="1:38" x14ac:dyDescent="0.25">
      <c r="A21" s="516"/>
      <c r="B21" s="506"/>
      <c r="C21" s="377">
        <v>10</v>
      </c>
      <c r="D21" s="508" t="s">
        <v>328</v>
      </c>
      <c r="E21" s="509"/>
      <c r="F21" s="158" t="s">
        <v>329</v>
      </c>
      <c r="G21" s="158">
        <v>400</v>
      </c>
      <c r="H21" s="152">
        <f t="shared" si="22"/>
        <v>8800</v>
      </c>
      <c r="I21" s="159">
        <v>985</v>
      </c>
      <c r="J21" s="158">
        <v>1200</v>
      </c>
      <c r="K21" s="158">
        <v>1000</v>
      </c>
      <c r="L21" s="526"/>
      <c r="M21" s="507"/>
      <c r="N21" s="153">
        <f t="shared" si="16"/>
        <v>909.09090909090912</v>
      </c>
      <c r="O21" s="154">
        <f>+N21+K21+J21+I21</f>
        <v>4094.090909090909</v>
      </c>
      <c r="P21" s="108">
        <v>0.8</v>
      </c>
      <c r="Q21" s="155">
        <f t="shared" si="24"/>
        <v>3275.2727272727275</v>
      </c>
      <c r="R21" s="155">
        <f t="shared" si="17"/>
        <v>711.88052727272725</v>
      </c>
      <c r="S21" s="366">
        <f>+(+O21+Q21+R21)*0.1</f>
        <v>808.12441636363644</v>
      </c>
      <c r="T21" s="367">
        <f t="shared" si="18"/>
        <v>8889.3685800000003</v>
      </c>
      <c r="U21" s="157">
        <f>+T21*100/76</f>
        <v>11696.537605263158</v>
      </c>
      <c r="V21" s="157"/>
      <c r="W21" s="157"/>
      <c r="X21" s="116">
        <f t="shared" si="19"/>
        <v>0</v>
      </c>
      <c r="Y21" s="153">
        <f t="shared" si="26"/>
        <v>0</v>
      </c>
      <c r="Z21" s="153">
        <f t="shared" si="27"/>
        <v>0</v>
      </c>
      <c r="AA21" s="153">
        <f t="shared" si="28"/>
        <v>0</v>
      </c>
      <c r="AB21" s="153">
        <f t="shared" si="29"/>
        <v>0</v>
      </c>
      <c r="AC21" s="152">
        <f t="shared" si="30"/>
        <v>0</v>
      </c>
      <c r="AD21" s="153">
        <f t="shared" si="31"/>
        <v>0</v>
      </c>
      <c r="AE21" s="152">
        <f t="shared" si="20"/>
        <v>0</v>
      </c>
      <c r="AF21" s="139">
        <f t="shared" si="21"/>
        <v>0</v>
      </c>
      <c r="AG21" s="101"/>
      <c r="AH21" s="125"/>
    </row>
    <row r="22" spans="1:38" ht="21" customHeight="1" x14ac:dyDescent="0.25">
      <c r="A22" s="160" t="s">
        <v>167</v>
      </c>
      <c r="B22" s="117"/>
      <c r="C22" s="117"/>
      <c r="D22" s="117"/>
      <c r="E22" s="117"/>
      <c r="F22" s="117"/>
      <c r="G22" s="117"/>
      <c r="H22" s="117"/>
      <c r="I22" s="161"/>
      <c r="J22" s="117"/>
      <c r="K22" s="117"/>
      <c r="L22" s="526"/>
      <c r="M22" s="181">
        <v>0.35</v>
      </c>
      <c r="N22" s="162"/>
      <c r="O22" s="162"/>
      <c r="P22" s="162"/>
      <c r="Q22" s="162"/>
      <c r="R22" s="162"/>
      <c r="S22" s="162"/>
      <c r="T22" s="162"/>
      <c r="U22" s="162"/>
      <c r="V22" s="163">
        <f>SUM(V12:V21)</f>
        <v>22</v>
      </c>
      <c r="W22" s="163">
        <f>SUM(W12:W21)</f>
        <v>8000</v>
      </c>
      <c r="X22" s="163">
        <f t="shared" ref="X22:AE22" si="32">SUM(X12:X21)</f>
        <v>152653602.95478958</v>
      </c>
      <c r="Y22" s="163">
        <f t="shared" si="32"/>
        <v>63844036</v>
      </c>
      <c r="Z22" s="163">
        <f t="shared" si="32"/>
        <v>7555600</v>
      </c>
      <c r="AA22" s="163">
        <f t="shared" si="32"/>
        <v>14600000</v>
      </c>
      <c r="AB22" s="163">
        <f t="shared" si="32"/>
        <v>8000000</v>
      </c>
      <c r="AC22" s="163">
        <f t="shared" si="32"/>
        <v>12224842.111512171</v>
      </c>
      <c r="AD22" s="163">
        <f t="shared" si="32"/>
        <v>13877600.268617235</v>
      </c>
      <c r="AE22" s="163">
        <f t="shared" si="32"/>
        <v>120102078.3801294</v>
      </c>
      <c r="AF22" s="163">
        <f>SUM(AF12:AF21)</f>
        <v>32551524.57466016</v>
      </c>
      <c r="AG22" s="101"/>
      <c r="AH22" s="125"/>
    </row>
    <row r="23" spans="1:38" ht="28.15" customHeight="1" x14ac:dyDescent="0.25">
      <c r="A23" s="518" t="s">
        <v>172</v>
      </c>
      <c r="B23" s="521">
        <v>40</v>
      </c>
      <c r="C23" s="164">
        <v>1</v>
      </c>
      <c r="D23" s="524" t="s">
        <v>296</v>
      </c>
      <c r="E23" s="524"/>
      <c r="F23" s="164" t="s">
        <v>133</v>
      </c>
      <c r="G23" s="164">
        <v>1000</v>
      </c>
      <c r="H23" s="164">
        <f>+G23*H$3</f>
        <v>22000</v>
      </c>
      <c r="I23" s="165">
        <v>19779</v>
      </c>
      <c r="J23" s="164">
        <v>1450</v>
      </c>
      <c r="K23" s="164">
        <v>400</v>
      </c>
      <c r="L23" s="526"/>
      <c r="M23" s="528">
        <f>+L4*M22</f>
        <v>28000000</v>
      </c>
      <c r="N23" s="166">
        <f>+M$23/H23</f>
        <v>1272.7272727272727</v>
      </c>
      <c r="O23" s="167">
        <f>+N23+K23+J23+I23</f>
        <v>22901.727272727272</v>
      </c>
      <c r="P23" s="109">
        <v>0.1</v>
      </c>
      <c r="Q23" s="168">
        <f>+O23*P23</f>
        <v>2290.1727272727271</v>
      </c>
      <c r="R23" s="168">
        <f>+(O23+Q23)*0.0966</f>
        <v>2433.5375399999998</v>
      </c>
      <c r="S23" s="168">
        <f>+(+O23+Q23+R23)*0.1</f>
        <v>2762.5437540000003</v>
      </c>
      <c r="T23" s="169">
        <f>+O23+Q23+S23+R23</f>
        <v>30387.981294000001</v>
      </c>
      <c r="U23" s="171">
        <f>+T23*100/76</f>
        <v>39984.185913157897</v>
      </c>
      <c r="V23" s="171">
        <v>6</v>
      </c>
      <c r="W23" s="171">
        <f>+V23*G23</f>
        <v>6000</v>
      </c>
      <c r="X23" s="116">
        <f>+W23*T23</f>
        <v>182327887.764</v>
      </c>
      <c r="Y23" s="165">
        <f>+W23*I23</f>
        <v>118674000</v>
      </c>
      <c r="Z23" s="165">
        <f>+W23*J23</f>
        <v>8700000</v>
      </c>
      <c r="AA23" s="165">
        <f>+W23*K23</f>
        <v>2400000</v>
      </c>
      <c r="AB23" s="166">
        <f>+W23*N23</f>
        <v>7636363.6363636367</v>
      </c>
      <c r="AC23" s="170">
        <f>+W23*R23</f>
        <v>14601225.239999998</v>
      </c>
      <c r="AD23" s="166">
        <f>+W23*S23</f>
        <v>16575262.524000002</v>
      </c>
      <c r="AE23" s="170">
        <f>SUM(Y23:AD23)</f>
        <v>168586851.40036362</v>
      </c>
      <c r="AF23" s="139">
        <f>+X23-AE23</f>
        <v>13741036.363636374</v>
      </c>
      <c r="AG23" s="101"/>
      <c r="AH23" s="125" t="s">
        <v>168</v>
      </c>
    </row>
    <row r="24" spans="1:38" ht="28.15" customHeight="1" x14ac:dyDescent="0.25">
      <c r="A24" s="519"/>
      <c r="B24" s="522"/>
      <c r="C24" s="164">
        <v>2</v>
      </c>
      <c r="D24" s="524" t="s">
        <v>307</v>
      </c>
      <c r="E24" s="524"/>
      <c r="F24" s="164" t="s">
        <v>133</v>
      </c>
      <c r="G24" s="164">
        <v>1000</v>
      </c>
      <c r="H24" s="164">
        <f>+G24*H$3</f>
        <v>22000</v>
      </c>
      <c r="I24" s="165">
        <v>11532</v>
      </c>
      <c r="J24" s="164">
        <v>1450</v>
      </c>
      <c r="K24" s="164">
        <v>400</v>
      </c>
      <c r="L24" s="526"/>
      <c r="M24" s="528"/>
      <c r="N24" s="166">
        <f>+M$23/H24</f>
        <v>1272.7272727272727</v>
      </c>
      <c r="O24" s="167">
        <f>+N24+K24+J24+I24</f>
        <v>14654.727272727272</v>
      </c>
      <c r="P24" s="109">
        <v>0.55000000000000004</v>
      </c>
      <c r="Q24" s="168">
        <f>+O24*P24</f>
        <v>8060.1</v>
      </c>
      <c r="R24" s="168">
        <f>+(O24+Q24)*0.0966</f>
        <v>2194.2523145454543</v>
      </c>
      <c r="S24" s="168">
        <f>+(+O24+Q24+R24)*0.1</f>
        <v>2490.9079587272727</v>
      </c>
      <c r="T24" s="169">
        <f>+O24+Q24+S24+R24</f>
        <v>27399.987545999997</v>
      </c>
      <c r="U24" s="171">
        <f>+T24*100/76</f>
        <v>36052.615192105259</v>
      </c>
      <c r="V24" s="171">
        <v>6</v>
      </c>
      <c r="W24" s="171">
        <f>+V24*G24</f>
        <v>6000</v>
      </c>
      <c r="X24" s="116">
        <f>+W24*T24</f>
        <v>164399925.27599999</v>
      </c>
      <c r="Y24" s="165">
        <f>+W24*I24</f>
        <v>69192000</v>
      </c>
      <c r="Z24" s="165">
        <f>+W24*J24</f>
        <v>8700000</v>
      </c>
      <c r="AA24" s="165">
        <f>+W24*K24</f>
        <v>2400000</v>
      </c>
      <c r="AB24" s="166">
        <f>+W24*N24</f>
        <v>7636363.6363636367</v>
      </c>
      <c r="AC24" s="170">
        <f>+W24*R24</f>
        <v>13165513.887272725</v>
      </c>
      <c r="AD24" s="166">
        <f>+W24*S24</f>
        <v>14945447.752363635</v>
      </c>
      <c r="AE24" s="170">
        <f>SUM(Y24:AD24)</f>
        <v>116039325.27600001</v>
      </c>
      <c r="AF24" s="139">
        <f>+X24-AE24</f>
        <v>48360599.999999985</v>
      </c>
      <c r="AG24" s="101"/>
      <c r="AH24" s="125" t="s">
        <v>168</v>
      </c>
    </row>
    <row r="25" spans="1:38" ht="28.15" customHeight="1" x14ac:dyDescent="0.25">
      <c r="A25" s="519"/>
      <c r="B25" s="522"/>
      <c r="C25" s="164">
        <v>3</v>
      </c>
      <c r="D25" s="524" t="s">
        <v>308</v>
      </c>
      <c r="E25" s="524"/>
      <c r="F25" s="164" t="s">
        <v>133</v>
      </c>
      <c r="G25" s="164">
        <v>1000</v>
      </c>
      <c r="H25" s="164">
        <f>+G25*H$3</f>
        <v>22000</v>
      </c>
      <c r="I25" s="165">
        <v>11740</v>
      </c>
      <c r="J25" s="164">
        <v>1450</v>
      </c>
      <c r="K25" s="164">
        <v>400</v>
      </c>
      <c r="L25" s="526"/>
      <c r="M25" s="528"/>
      <c r="N25" s="166">
        <f>+M$23/H25</f>
        <v>1272.7272727272727</v>
      </c>
      <c r="O25" s="167">
        <f>+N25+K25+J25+I25</f>
        <v>14862.727272727272</v>
      </c>
      <c r="P25" s="109">
        <v>0.25</v>
      </c>
      <c r="Q25" s="168">
        <f>+O25*P25</f>
        <v>3715.681818181818</v>
      </c>
      <c r="R25" s="168">
        <f>+(O25+Q25)*0.0966</f>
        <v>1794.6743181818181</v>
      </c>
      <c r="S25" s="168">
        <f>+(+O25+Q25+R25)*0.1</f>
        <v>2037.3083409090905</v>
      </c>
      <c r="T25" s="169">
        <f>+O25+Q25+S25+R25</f>
        <v>22410.391749999995</v>
      </c>
      <c r="U25" s="171">
        <f>+T25*100/76</f>
        <v>29487.357565789465</v>
      </c>
      <c r="V25" s="171">
        <v>5</v>
      </c>
      <c r="W25" s="171">
        <f>+V25*G25</f>
        <v>5000</v>
      </c>
      <c r="X25" s="116">
        <f>+W25*T25</f>
        <v>112051958.74999997</v>
      </c>
      <c r="Y25" s="165">
        <f>+W25*I25</f>
        <v>58700000</v>
      </c>
      <c r="Z25" s="165">
        <f>+W25*J25</f>
        <v>7250000</v>
      </c>
      <c r="AA25" s="165">
        <f>+W25*K25</f>
        <v>2000000</v>
      </c>
      <c r="AB25" s="166">
        <f>+W25*N25</f>
        <v>6363636.3636363633</v>
      </c>
      <c r="AC25" s="170">
        <f>+W25*R25</f>
        <v>8973371.5909090899</v>
      </c>
      <c r="AD25" s="166">
        <f>+W25*S25</f>
        <v>10186541.704545453</v>
      </c>
      <c r="AE25" s="170">
        <f>SUM(Y25:AD25)</f>
        <v>93473549.659090906</v>
      </c>
      <c r="AF25" s="139">
        <f>+X25-AE25</f>
        <v>18578409.090909064</v>
      </c>
      <c r="AG25" s="101"/>
      <c r="AH25" s="125"/>
    </row>
    <row r="26" spans="1:38" ht="28.15" customHeight="1" x14ac:dyDescent="0.25">
      <c r="A26" s="520"/>
      <c r="B26" s="523"/>
      <c r="C26" s="164">
        <v>4</v>
      </c>
      <c r="D26" s="524" t="s">
        <v>304</v>
      </c>
      <c r="E26" s="524"/>
      <c r="F26" s="164" t="s">
        <v>133</v>
      </c>
      <c r="G26" s="164">
        <v>1000</v>
      </c>
      <c r="H26" s="164">
        <f>+G26*H$3</f>
        <v>22000</v>
      </c>
      <c r="I26" s="165">
        <v>8627</v>
      </c>
      <c r="J26" s="164">
        <v>1450</v>
      </c>
      <c r="K26" s="164">
        <v>400</v>
      </c>
      <c r="L26" s="527"/>
      <c r="M26" s="528"/>
      <c r="N26" s="166">
        <f>+M$23/H26</f>
        <v>1272.7272727272727</v>
      </c>
      <c r="O26" s="167">
        <f>+N26+K26+J26+I26</f>
        <v>11749.727272727272</v>
      </c>
      <c r="P26" s="109">
        <v>0.45</v>
      </c>
      <c r="Q26" s="168">
        <f>+O26*P26</f>
        <v>5287.3772727272726</v>
      </c>
      <c r="R26" s="168">
        <f>+(O26+Q26)*0.0966</f>
        <v>1645.7842990909091</v>
      </c>
      <c r="S26" s="168">
        <f>+(+O26+Q26+R26)*0.1</f>
        <v>1868.2888844545455</v>
      </c>
      <c r="T26" s="169">
        <f>+O26+Q26+S26+R26</f>
        <v>20551.177728999999</v>
      </c>
      <c r="U26" s="171">
        <f>+T26*100/76</f>
        <v>27041.023327631578</v>
      </c>
      <c r="V26" s="171">
        <v>5</v>
      </c>
      <c r="W26" s="171">
        <f>+V26*G26</f>
        <v>5000</v>
      </c>
      <c r="X26" s="116">
        <f>+W26*T26</f>
        <v>102755888.645</v>
      </c>
      <c r="Y26" s="165">
        <f>+W26*I26</f>
        <v>43135000</v>
      </c>
      <c r="Z26" s="165">
        <f>+W26*J26</f>
        <v>7250000</v>
      </c>
      <c r="AA26" s="165">
        <f>+W26*K26</f>
        <v>2000000</v>
      </c>
      <c r="AB26" s="166">
        <f>+W26*N26</f>
        <v>6363636.3636363633</v>
      </c>
      <c r="AC26" s="170">
        <f>+W26*R26</f>
        <v>8228921.4954545461</v>
      </c>
      <c r="AD26" s="166">
        <f>+W26*S26</f>
        <v>9341444.4222727269</v>
      </c>
      <c r="AE26" s="170">
        <f>SUM(Y26:AD26)</f>
        <v>76319002.281363636</v>
      </c>
      <c r="AF26" s="139">
        <f>+X26-AE26</f>
        <v>26436886.36363636</v>
      </c>
      <c r="AG26" s="101"/>
      <c r="AH26" s="125"/>
    </row>
    <row r="27" spans="1:38" x14ac:dyDescent="0.25">
      <c r="A27" s="172"/>
      <c r="B27" s="173"/>
      <c r="C27" s="173"/>
      <c r="D27" s="173"/>
      <c r="E27" s="173"/>
      <c r="F27" s="173"/>
      <c r="G27" s="173"/>
      <c r="H27" s="173"/>
      <c r="I27" s="174"/>
      <c r="J27" s="173"/>
      <c r="K27" s="173"/>
      <c r="L27" s="173"/>
      <c r="M27" s="175"/>
      <c r="N27" s="176">
        <f>SUM(N23:N26)</f>
        <v>5090.909090909091</v>
      </c>
      <c r="O27" s="176">
        <f t="shared" ref="O27:U27" si="33">SUM(O23:O26)</f>
        <v>64168.909090909088</v>
      </c>
      <c r="P27" s="176">
        <f>SUM(P23:P26)</f>
        <v>1.35</v>
      </c>
      <c r="Q27" s="176">
        <f t="shared" si="33"/>
        <v>19353.331818181818</v>
      </c>
      <c r="R27" s="176">
        <f t="shared" si="33"/>
        <v>8068.2484718181813</v>
      </c>
      <c r="S27" s="176">
        <f t="shared" si="33"/>
        <v>9159.0489380909094</v>
      </c>
      <c r="T27" s="176">
        <f t="shared" si="33"/>
        <v>100749.538319</v>
      </c>
      <c r="U27" s="176">
        <f t="shared" si="33"/>
        <v>132565.18199868419</v>
      </c>
      <c r="V27" s="118">
        <f>SUM(V23:V26)</f>
        <v>22</v>
      </c>
      <c r="W27" s="118">
        <f>SUM(W23:W26)</f>
        <v>22000</v>
      </c>
      <c r="X27" s="118">
        <f t="shared" ref="X27:AE27" si="34">SUM(X23:X26)</f>
        <v>561535660.43499994</v>
      </c>
      <c r="Y27" s="118">
        <f t="shared" si="34"/>
        <v>289701000</v>
      </c>
      <c r="Z27" s="118">
        <f t="shared" si="34"/>
        <v>31900000</v>
      </c>
      <c r="AA27" s="118">
        <f t="shared" si="34"/>
        <v>8800000</v>
      </c>
      <c r="AB27" s="118">
        <f t="shared" si="34"/>
        <v>28000000</v>
      </c>
      <c r="AC27" s="118">
        <f t="shared" si="34"/>
        <v>44969032.213636369</v>
      </c>
      <c r="AD27" s="118">
        <f t="shared" si="34"/>
        <v>51048696.403181821</v>
      </c>
      <c r="AE27" s="118">
        <f t="shared" si="34"/>
        <v>454418728.61681819</v>
      </c>
      <c r="AF27" s="118">
        <f>SUM(AF23:AF26)</f>
        <v>107116931.81818178</v>
      </c>
      <c r="AG27" s="101"/>
      <c r="AH27" s="177"/>
    </row>
    <row r="28" spans="1:38" x14ac:dyDescent="0.25">
      <c r="A28" s="119"/>
      <c r="B28" s="119"/>
      <c r="C28" s="119"/>
      <c r="D28" s="119"/>
      <c r="E28" s="119"/>
      <c r="F28" s="119"/>
      <c r="G28" s="119"/>
      <c r="H28" s="119"/>
      <c r="I28" s="178"/>
      <c r="J28" s="119"/>
      <c r="K28" s="119"/>
      <c r="L28" s="119"/>
      <c r="M28" s="119"/>
      <c r="N28" s="119"/>
      <c r="O28" s="179"/>
      <c r="P28" s="179"/>
      <c r="Q28" s="119"/>
      <c r="R28" s="119"/>
      <c r="S28" s="178"/>
      <c r="T28" s="119"/>
      <c r="U28" s="110"/>
      <c r="V28" s="110">
        <v>22</v>
      </c>
      <c r="W28" s="110">
        <f t="shared" ref="W28:AF28" si="35">+W27+W22+W11</f>
        <v>40840</v>
      </c>
      <c r="X28" s="110">
        <f t="shared" si="35"/>
        <v>1066610743.7738119</v>
      </c>
      <c r="Y28" s="110">
        <f t="shared" si="35"/>
        <v>474960516</v>
      </c>
      <c r="Z28" s="110">
        <f t="shared" si="35"/>
        <v>61424600</v>
      </c>
      <c r="AA28" s="110">
        <f t="shared" si="35"/>
        <v>49936000</v>
      </c>
      <c r="AB28" s="110">
        <f t="shared" si="35"/>
        <v>80000000</v>
      </c>
      <c r="AC28" s="110">
        <f t="shared" si="35"/>
        <v>85416575.073823422</v>
      </c>
      <c r="AD28" s="110">
        <f t="shared" si="35"/>
        <v>96964613.070346549</v>
      </c>
      <c r="AE28" s="110">
        <f t="shared" si="35"/>
        <v>848702304.14416993</v>
      </c>
      <c r="AF28" s="110">
        <f t="shared" si="35"/>
        <v>217908439.62964195</v>
      </c>
      <c r="AG28" s="101"/>
      <c r="AH28" s="125"/>
      <c r="AL28" s="105"/>
    </row>
    <row r="29" spans="1:38" x14ac:dyDescent="0.25">
      <c r="O29" s="111">
        <f>+T29*58/V29</f>
        <v>4565.76</v>
      </c>
      <c r="P29" s="285">
        <v>0.4</v>
      </c>
      <c r="Q29" s="114">
        <f>+O29*P29</f>
        <v>1826.3040000000001</v>
      </c>
      <c r="R29" s="101">
        <f>+(O29+Q29)*0.0966</f>
        <v>617.47338240000011</v>
      </c>
      <c r="S29" s="101">
        <f>+(O29+Q29+R29)*0.1111</f>
        <v>778.75960318464013</v>
      </c>
      <c r="T29" s="190">
        <v>7872</v>
      </c>
      <c r="U29" s="191">
        <v>9840</v>
      </c>
      <c r="V29" s="104">
        <v>100</v>
      </c>
      <c r="W29" s="112"/>
      <c r="AG29" s="101"/>
    </row>
    <row r="30" spans="1:38" x14ac:dyDescent="0.25">
      <c r="M30" s="101">
        <v>9840</v>
      </c>
      <c r="N30" s="101" t="s">
        <v>489</v>
      </c>
      <c r="O30" s="111"/>
      <c r="P30" s="111"/>
      <c r="T30" s="190">
        <f>+O29+Q29+R29+S29</f>
        <v>7788.2969855846404</v>
      </c>
      <c r="U30" s="191">
        <f>+U29*V30/V29</f>
        <v>7872</v>
      </c>
      <c r="V30" s="104">
        <v>80</v>
      </c>
      <c r="W30" s="112">
        <f>+T19/9</f>
        <v>1847.644004264871</v>
      </c>
      <c r="X30" s="105">
        <f>+W30*10</f>
        <v>18476.440042648712</v>
      </c>
      <c r="AG30" s="101"/>
    </row>
    <row r="31" spans="1:38" x14ac:dyDescent="0.25">
      <c r="F31" s="284"/>
      <c r="O31" s="113"/>
      <c r="P31" s="113"/>
      <c r="Q31" s="114"/>
      <c r="R31" s="114"/>
      <c r="T31" s="114"/>
      <c r="U31" s="115"/>
      <c r="V31" s="115"/>
      <c r="W31" s="112"/>
      <c r="AC31" s="114"/>
      <c r="AG31" s="101"/>
    </row>
    <row r="32" spans="1:38" ht="110.25" customHeight="1" x14ac:dyDescent="0.25">
      <c r="A32" s="110" t="s">
        <v>163</v>
      </c>
      <c r="B32" s="110" t="s">
        <v>164</v>
      </c>
      <c r="C32" s="119"/>
      <c r="D32" s="510" t="s">
        <v>157</v>
      </c>
      <c r="E32" s="510"/>
      <c r="F32" s="184" t="s">
        <v>165</v>
      </c>
      <c r="G32" s="184" t="s">
        <v>320</v>
      </c>
      <c r="H32" s="184" t="s">
        <v>368</v>
      </c>
      <c r="I32" s="120" t="s">
        <v>171</v>
      </c>
      <c r="J32" s="184" t="s">
        <v>170</v>
      </c>
      <c r="K32" s="184" t="s">
        <v>6</v>
      </c>
      <c r="L32" s="184" t="s">
        <v>385</v>
      </c>
      <c r="M32" s="184" t="s">
        <v>386</v>
      </c>
      <c r="N32" s="184" t="s">
        <v>387</v>
      </c>
      <c r="O32" s="184" t="s">
        <v>330</v>
      </c>
      <c r="P32" s="110" t="s">
        <v>389</v>
      </c>
      <c r="Q32" s="110" t="s">
        <v>390</v>
      </c>
      <c r="R32" s="110" t="s">
        <v>384</v>
      </c>
      <c r="S32" s="110" t="s">
        <v>311</v>
      </c>
      <c r="T32" s="110" t="s">
        <v>158</v>
      </c>
      <c r="U32" s="110" t="s">
        <v>369</v>
      </c>
      <c r="V32" s="122" t="s">
        <v>399</v>
      </c>
      <c r="W32" s="122" t="s">
        <v>400</v>
      </c>
      <c r="X32" s="123" t="s">
        <v>394</v>
      </c>
      <c r="Y32" s="124" t="s">
        <v>171</v>
      </c>
      <c r="Z32" s="122" t="s">
        <v>170</v>
      </c>
      <c r="AA32" s="122" t="s">
        <v>6</v>
      </c>
      <c r="AB32" s="122" t="s">
        <v>387</v>
      </c>
      <c r="AC32" s="122" t="s">
        <v>384</v>
      </c>
      <c r="AD32" s="122" t="s">
        <v>311</v>
      </c>
      <c r="AE32" s="122" t="s">
        <v>397</v>
      </c>
      <c r="AF32" s="122" t="s">
        <v>395</v>
      </c>
      <c r="AG32" s="101"/>
      <c r="AI32" s="104" t="s">
        <v>401</v>
      </c>
      <c r="AJ32" s="104" t="s">
        <v>402</v>
      </c>
    </row>
    <row r="33" spans="1:36" x14ac:dyDescent="0.25">
      <c r="A33" s="126"/>
      <c r="B33" s="127"/>
      <c r="C33" s="127"/>
      <c r="D33" s="127"/>
      <c r="E33" s="127"/>
      <c r="F33" s="127"/>
      <c r="G33" s="127"/>
      <c r="H33" s="121">
        <v>22</v>
      </c>
      <c r="I33" s="128"/>
      <c r="J33" s="127"/>
      <c r="K33" s="127"/>
      <c r="L33" s="129"/>
      <c r="M33" s="106">
        <v>0.55000000000000004</v>
      </c>
      <c r="N33" s="130"/>
      <c r="O33" s="130"/>
      <c r="P33" s="130"/>
      <c r="Q33" s="131"/>
      <c r="R33" s="185">
        <v>0.08</v>
      </c>
      <c r="S33" s="185">
        <v>0.1</v>
      </c>
      <c r="T33" s="186"/>
      <c r="U33" s="106">
        <v>0.24</v>
      </c>
      <c r="V33" s="132"/>
      <c r="W33" s="132"/>
      <c r="X33" s="133"/>
      <c r="Y33" s="134"/>
      <c r="Z33" s="135"/>
      <c r="AA33" s="135"/>
      <c r="AB33" s="136"/>
      <c r="AC33" s="187">
        <v>0.08</v>
      </c>
      <c r="AD33" s="187">
        <v>0.1</v>
      </c>
      <c r="AE33" s="138"/>
      <c r="AF33" s="139"/>
      <c r="AG33" s="101"/>
    </row>
    <row r="34" spans="1:36" ht="15.75" customHeight="1" x14ac:dyDescent="0.25">
      <c r="A34" s="511" t="s">
        <v>148</v>
      </c>
      <c r="B34" s="517">
        <v>40</v>
      </c>
      <c r="C34" s="140">
        <v>1</v>
      </c>
      <c r="D34" s="517" t="s">
        <v>321</v>
      </c>
      <c r="E34" s="517"/>
      <c r="F34" s="140" t="s">
        <v>161</v>
      </c>
      <c r="G34" s="140">
        <v>480</v>
      </c>
      <c r="H34" s="141">
        <f t="shared" ref="H34:H39" si="36">+G34*H$3</f>
        <v>10560</v>
      </c>
      <c r="I34" s="141">
        <v>7052</v>
      </c>
      <c r="J34" s="140">
        <v>1250</v>
      </c>
      <c r="K34" s="140">
        <v>2500</v>
      </c>
      <c r="L34" s="525">
        <v>80000000</v>
      </c>
      <c r="M34" s="529">
        <f>+L34*M33</f>
        <v>44000000</v>
      </c>
      <c r="N34" s="141">
        <f t="shared" ref="N34:N39" si="37">+M$4/H34</f>
        <v>4166.666666666667</v>
      </c>
      <c r="O34" s="142">
        <f t="shared" ref="O34:O39" si="38">+N34+K34+J34+I34</f>
        <v>14968.666666666668</v>
      </c>
      <c r="P34" s="107">
        <v>0.3</v>
      </c>
      <c r="Q34" s="143">
        <f t="shared" ref="Q34:Q39" si="39">+O34*P34</f>
        <v>4490.6000000000004</v>
      </c>
      <c r="R34" s="143">
        <f t="shared" ref="R34:R39" si="40">+(O34+Q34)*0.0966</f>
        <v>1879.7651600000004</v>
      </c>
      <c r="S34" s="144">
        <f>+(O34+Q34+R34)*0.1111</f>
        <v>2370.7664359426672</v>
      </c>
      <c r="T34" s="140">
        <f t="shared" ref="T34:T39" si="41">+Q34+O34+S34+R34</f>
        <v>23709.798262609336</v>
      </c>
      <c r="U34" s="145">
        <f>+T34*100/76</f>
        <v>31197.102977117549</v>
      </c>
      <c r="V34" s="146">
        <v>8</v>
      </c>
      <c r="W34" s="146">
        <f>+AJ34</f>
        <v>1540</v>
      </c>
      <c r="X34" s="147">
        <f t="shared" ref="X34:X39" si="42">+W34*T34</f>
        <v>36513089.324418381</v>
      </c>
      <c r="Y34" s="141">
        <f t="shared" ref="Y34:Y39" si="43">+W34*I34</f>
        <v>10860080</v>
      </c>
      <c r="Z34" s="141">
        <f t="shared" ref="Z34:Z39" si="44">+W34*J34</f>
        <v>1925000</v>
      </c>
      <c r="AA34" s="141">
        <f t="shared" ref="AA34:AA39" si="45">+W34*K34</f>
        <v>3850000</v>
      </c>
      <c r="AB34" s="141">
        <f t="shared" ref="AB34:AB39" si="46">+W34*N34</f>
        <v>6416666.666666667</v>
      </c>
      <c r="AC34" s="141">
        <f t="shared" ref="AC34:AC39" si="47">+W34*R34</f>
        <v>2894838.3464000006</v>
      </c>
      <c r="AD34" s="141">
        <f t="shared" ref="AD34:AD39" si="48">+W34*S34</f>
        <v>3650980.3113517072</v>
      </c>
      <c r="AE34" s="141">
        <f>SUM(Y34:AD34)</f>
        <v>29597565.324418373</v>
      </c>
      <c r="AF34" s="139">
        <f t="shared" ref="AF34:AF39" si="49">+X34-AE34</f>
        <v>6915524.0000000075</v>
      </c>
      <c r="AG34" s="101"/>
      <c r="AI34" s="101">
        <v>70</v>
      </c>
      <c r="AJ34" s="101">
        <f>+AI34*22</f>
        <v>1540</v>
      </c>
    </row>
    <row r="35" spans="1:36" x14ac:dyDescent="0.25">
      <c r="A35" s="511"/>
      <c r="B35" s="517"/>
      <c r="C35" s="140">
        <v>2</v>
      </c>
      <c r="D35" s="517" t="s">
        <v>322</v>
      </c>
      <c r="E35" s="517"/>
      <c r="F35" s="140" t="s">
        <v>132</v>
      </c>
      <c r="G35" s="140">
        <v>600</v>
      </c>
      <c r="H35" s="141">
        <f t="shared" si="36"/>
        <v>13200</v>
      </c>
      <c r="I35" s="141">
        <v>10463</v>
      </c>
      <c r="J35" s="140">
        <f>1615+580</f>
        <v>2195</v>
      </c>
      <c r="K35" s="140">
        <v>2080</v>
      </c>
      <c r="L35" s="526"/>
      <c r="M35" s="529"/>
      <c r="N35" s="141">
        <f t="shared" si="37"/>
        <v>3333.3333333333335</v>
      </c>
      <c r="O35" s="142">
        <f t="shared" si="38"/>
        <v>18071.333333333336</v>
      </c>
      <c r="P35" s="107">
        <v>0.30168</v>
      </c>
      <c r="Q35" s="143">
        <f t="shared" si="39"/>
        <v>5451.7598400000006</v>
      </c>
      <c r="R35" s="143">
        <f t="shared" si="40"/>
        <v>2272.3308005440003</v>
      </c>
      <c r="S35" s="144">
        <f>+(O35+Q35)*0.1111</f>
        <v>2613.4156515573336</v>
      </c>
      <c r="T35" s="140">
        <f t="shared" si="41"/>
        <v>28408.83962543467</v>
      </c>
      <c r="U35" s="145">
        <f>+T35*100/80</f>
        <v>35511.049531793338</v>
      </c>
      <c r="V35" s="146">
        <v>4</v>
      </c>
      <c r="W35" s="146">
        <f>+AJ35</f>
        <v>1100</v>
      </c>
      <c r="X35" s="147">
        <f t="shared" si="42"/>
        <v>31249723.587978136</v>
      </c>
      <c r="Y35" s="141">
        <f t="shared" si="43"/>
        <v>11509300</v>
      </c>
      <c r="Z35" s="141">
        <f t="shared" si="44"/>
        <v>2414500</v>
      </c>
      <c r="AA35" s="141">
        <f t="shared" si="45"/>
        <v>2288000</v>
      </c>
      <c r="AB35" s="141">
        <f t="shared" si="46"/>
        <v>3666666.666666667</v>
      </c>
      <c r="AC35" s="141">
        <f t="shared" si="47"/>
        <v>2499563.8805984003</v>
      </c>
      <c r="AD35" s="141">
        <f t="shared" si="48"/>
        <v>2874757.2167130671</v>
      </c>
      <c r="AE35" s="141">
        <f>SUM(Y35:AD35)</f>
        <v>25252787.763978135</v>
      </c>
      <c r="AF35" s="139">
        <f t="shared" si="49"/>
        <v>5996935.824000001</v>
      </c>
      <c r="AG35" s="101"/>
      <c r="AI35" s="101">
        <v>50</v>
      </c>
      <c r="AJ35" s="101">
        <f t="shared" ref="AJ35:AJ52" si="50">+AI35*22</f>
        <v>1100</v>
      </c>
    </row>
    <row r="36" spans="1:36" ht="16.5" customHeight="1" x14ac:dyDescent="0.25">
      <c r="A36" s="511"/>
      <c r="B36" s="517"/>
      <c r="C36" s="140">
        <v>3</v>
      </c>
      <c r="D36" s="517" t="s">
        <v>323</v>
      </c>
      <c r="E36" s="517"/>
      <c r="F36" s="140" t="s">
        <v>131</v>
      </c>
      <c r="G36" s="140">
        <v>600</v>
      </c>
      <c r="H36" s="141">
        <f t="shared" si="36"/>
        <v>13200</v>
      </c>
      <c r="I36" s="141">
        <v>10143</v>
      </c>
      <c r="J36" s="140">
        <f>1365+580</f>
        <v>1945</v>
      </c>
      <c r="K36" s="140">
        <v>2080</v>
      </c>
      <c r="L36" s="526"/>
      <c r="M36" s="529"/>
      <c r="N36" s="141">
        <f t="shared" si="37"/>
        <v>3333.3333333333335</v>
      </c>
      <c r="O36" s="142">
        <f t="shared" si="38"/>
        <v>17501.333333333336</v>
      </c>
      <c r="P36" s="107">
        <v>0.30093999999999999</v>
      </c>
      <c r="Q36" s="143">
        <f t="shared" si="39"/>
        <v>5266.8512533333342</v>
      </c>
      <c r="R36" s="143">
        <f t="shared" si="40"/>
        <v>2199.4066310720004</v>
      </c>
      <c r="S36" s="144">
        <f>+(O36+Q36)*0.1111</f>
        <v>2529.5453075786672</v>
      </c>
      <c r="T36" s="140">
        <f t="shared" si="41"/>
        <v>27497.136525317339</v>
      </c>
      <c r="U36" s="145">
        <f>+T36*100/80</f>
        <v>34371.420656646675</v>
      </c>
      <c r="V36" s="146">
        <v>3</v>
      </c>
      <c r="W36" s="146">
        <f>+AJ36</f>
        <v>440</v>
      </c>
      <c r="X36" s="147">
        <f t="shared" si="42"/>
        <v>12098740.07113963</v>
      </c>
      <c r="Y36" s="141">
        <f t="shared" si="43"/>
        <v>4462920</v>
      </c>
      <c r="Z36" s="141">
        <f t="shared" si="44"/>
        <v>855800</v>
      </c>
      <c r="AA36" s="141">
        <f t="shared" si="45"/>
        <v>915200</v>
      </c>
      <c r="AB36" s="141">
        <f t="shared" si="46"/>
        <v>1466666.6666666667</v>
      </c>
      <c r="AC36" s="141">
        <f t="shared" si="47"/>
        <v>967738.91767168022</v>
      </c>
      <c r="AD36" s="141">
        <f t="shared" si="48"/>
        <v>1112999.9353346135</v>
      </c>
      <c r="AE36" s="141">
        <f>SUM(Y36:AD36)</f>
        <v>9781325.51967296</v>
      </c>
      <c r="AF36" s="139">
        <f t="shared" si="49"/>
        <v>2317414.5514666699</v>
      </c>
      <c r="AG36" s="101"/>
      <c r="AI36" s="101">
        <v>20</v>
      </c>
      <c r="AJ36" s="101">
        <f t="shared" si="50"/>
        <v>440</v>
      </c>
    </row>
    <row r="37" spans="1:36" x14ac:dyDescent="0.25">
      <c r="A37" s="511"/>
      <c r="B37" s="517"/>
      <c r="C37" s="140">
        <v>4</v>
      </c>
      <c r="D37" s="517" t="s">
        <v>324</v>
      </c>
      <c r="E37" s="517"/>
      <c r="F37" s="140" t="s">
        <v>160</v>
      </c>
      <c r="G37" s="140">
        <v>400</v>
      </c>
      <c r="H37" s="141">
        <f t="shared" si="36"/>
        <v>8800</v>
      </c>
      <c r="I37" s="141">
        <v>10070</v>
      </c>
      <c r="J37" s="140">
        <v>3000</v>
      </c>
      <c r="K37" s="140">
        <v>2500</v>
      </c>
      <c r="L37" s="526"/>
      <c r="M37" s="529"/>
      <c r="N37" s="141">
        <f t="shared" si="37"/>
        <v>5000</v>
      </c>
      <c r="O37" s="142">
        <f t="shared" si="38"/>
        <v>20570</v>
      </c>
      <c r="P37" s="107">
        <v>0.45140000000000002</v>
      </c>
      <c r="Q37" s="143">
        <f t="shared" si="39"/>
        <v>9285.2980000000007</v>
      </c>
      <c r="R37" s="143">
        <f t="shared" si="40"/>
        <v>2884.0217868000004</v>
      </c>
      <c r="S37" s="144">
        <f>+(O37+Q37)*0.1111</f>
        <v>3316.9236078000004</v>
      </c>
      <c r="T37" s="140">
        <f t="shared" si="41"/>
        <v>36056.243394600009</v>
      </c>
      <c r="U37" s="145">
        <f t="shared" ref="U37:U51" si="51">+T37*100/76</f>
        <v>47442.425519210541</v>
      </c>
      <c r="V37" s="146">
        <v>4</v>
      </c>
      <c r="W37" s="146">
        <f>+AJ37</f>
        <v>880</v>
      </c>
      <c r="X37" s="147">
        <f t="shared" si="42"/>
        <v>31729494.187248006</v>
      </c>
      <c r="Y37" s="141">
        <f t="shared" si="43"/>
        <v>8861600</v>
      </c>
      <c r="Z37" s="141">
        <f t="shared" si="44"/>
        <v>2640000</v>
      </c>
      <c r="AA37" s="141">
        <f t="shared" si="45"/>
        <v>2200000</v>
      </c>
      <c r="AB37" s="141">
        <f t="shared" si="46"/>
        <v>4400000</v>
      </c>
      <c r="AC37" s="141">
        <f t="shared" si="47"/>
        <v>2537939.1723840004</v>
      </c>
      <c r="AD37" s="141">
        <f t="shared" si="48"/>
        <v>2918892.7748640003</v>
      </c>
      <c r="AE37" s="141">
        <f>SUM(Y37:AD37)</f>
        <v>23558431.947248001</v>
      </c>
      <c r="AF37" s="139">
        <f t="shared" si="49"/>
        <v>8171062.2400000058</v>
      </c>
      <c r="AG37" s="101"/>
      <c r="AI37" s="101">
        <v>40</v>
      </c>
      <c r="AJ37" s="101">
        <f t="shared" si="50"/>
        <v>880</v>
      </c>
    </row>
    <row r="38" spans="1:36" x14ac:dyDescent="0.25">
      <c r="A38" s="511"/>
      <c r="B38" s="517"/>
      <c r="C38" s="140">
        <v>5</v>
      </c>
      <c r="D38" s="517" t="s">
        <v>325</v>
      </c>
      <c r="E38" s="517"/>
      <c r="F38" s="140" t="s">
        <v>160</v>
      </c>
      <c r="G38" s="140">
        <v>400</v>
      </c>
      <c r="H38" s="141">
        <f t="shared" si="36"/>
        <v>8800</v>
      </c>
      <c r="I38" s="141">
        <v>29046</v>
      </c>
      <c r="J38" s="140">
        <v>3000</v>
      </c>
      <c r="K38" s="140">
        <f>1050000/300</f>
        <v>3500</v>
      </c>
      <c r="L38" s="526"/>
      <c r="M38" s="529"/>
      <c r="N38" s="141">
        <f t="shared" si="37"/>
        <v>5000</v>
      </c>
      <c r="O38" s="142">
        <f t="shared" si="38"/>
        <v>40546</v>
      </c>
      <c r="P38" s="107">
        <v>0.46350000000000002</v>
      </c>
      <c r="Q38" s="143">
        <f t="shared" si="39"/>
        <v>18793.071</v>
      </c>
      <c r="R38" s="143">
        <f t="shared" si="40"/>
        <v>5732.1542585999996</v>
      </c>
      <c r="S38" s="144">
        <f>+(O38+Q38)*0.1111</f>
        <v>6592.5707880999998</v>
      </c>
      <c r="T38" s="140">
        <f t="shared" si="41"/>
        <v>71663.796046699994</v>
      </c>
      <c r="U38" s="145">
        <f t="shared" si="51"/>
        <v>94294.468482499986</v>
      </c>
      <c r="V38" s="146">
        <v>3</v>
      </c>
      <c r="W38" s="146">
        <f>+AJ38</f>
        <v>506</v>
      </c>
      <c r="X38" s="147">
        <f t="shared" si="42"/>
        <v>36261880.799630195</v>
      </c>
      <c r="Y38" s="141">
        <f t="shared" si="43"/>
        <v>14697276</v>
      </c>
      <c r="Z38" s="141">
        <f t="shared" si="44"/>
        <v>1518000</v>
      </c>
      <c r="AA38" s="141">
        <f t="shared" si="45"/>
        <v>1771000</v>
      </c>
      <c r="AB38" s="141">
        <f t="shared" si="46"/>
        <v>2530000</v>
      </c>
      <c r="AC38" s="141">
        <f t="shared" si="47"/>
        <v>2900470.0548516</v>
      </c>
      <c r="AD38" s="141">
        <f t="shared" si="48"/>
        <v>3335840.8187786001</v>
      </c>
      <c r="AE38" s="141">
        <f>SUM(Y38:AD38)</f>
        <v>26752586.8736302</v>
      </c>
      <c r="AF38" s="139">
        <f t="shared" si="49"/>
        <v>9509293.9259999953</v>
      </c>
      <c r="AG38" s="101"/>
      <c r="AI38" s="101">
        <v>23</v>
      </c>
      <c r="AJ38" s="101">
        <f t="shared" si="50"/>
        <v>506</v>
      </c>
    </row>
    <row r="39" spans="1:36" x14ac:dyDescent="0.25">
      <c r="A39" s="511"/>
      <c r="B39" s="517"/>
      <c r="C39" s="140">
        <v>6</v>
      </c>
      <c r="D39" s="517" t="s">
        <v>325</v>
      </c>
      <c r="E39" s="517"/>
      <c r="F39" s="140" t="s">
        <v>378</v>
      </c>
      <c r="G39" s="140">
        <v>1000</v>
      </c>
      <c r="H39" s="141">
        <f t="shared" si="36"/>
        <v>22000</v>
      </c>
      <c r="I39" s="141">
        <v>11996</v>
      </c>
      <c r="J39" s="140">
        <v>2150</v>
      </c>
      <c r="K39" s="140">
        <v>1250</v>
      </c>
      <c r="L39" s="526"/>
      <c r="M39" s="529"/>
      <c r="N39" s="141">
        <f t="shared" si="37"/>
        <v>2000</v>
      </c>
      <c r="O39" s="142">
        <f t="shared" si="38"/>
        <v>17396</v>
      </c>
      <c r="P39" s="107">
        <v>0.55000000000000004</v>
      </c>
      <c r="Q39" s="143">
        <f t="shared" si="39"/>
        <v>9567.8000000000011</v>
      </c>
      <c r="R39" s="143">
        <f t="shared" si="40"/>
        <v>2604.7030800000002</v>
      </c>
      <c r="S39" s="144">
        <f>+(O39+Q39)*0.1111</f>
        <v>2995.6781800000003</v>
      </c>
      <c r="T39" s="140">
        <f t="shared" si="41"/>
        <v>32564.181260000001</v>
      </c>
      <c r="U39" s="145">
        <f t="shared" si="51"/>
        <v>42847.606921052633</v>
      </c>
      <c r="V39" s="145"/>
      <c r="W39" s="145"/>
      <c r="X39" s="147">
        <f t="shared" si="42"/>
        <v>0</v>
      </c>
      <c r="Y39" s="141">
        <f t="shared" si="43"/>
        <v>0</v>
      </c>
      <c r="Z39" s="141">
        <f t="shared" si="44"/>
        <v>0</v>
      </c>
      <c r="AA39" s="141">
        <f t="shared" si="45"/>
        <v>0</v>
      </c>
      <c r="AB39" s="141">
        <f t="shared" si="46"/>
        <v>0</v>
      </c>
      <c r="AC39" s="141">
        <f t="shared" si="47"/>
        <v>0</v>
      </c>
      <c r="AD39" s="141">
        <f t="shared" si="48"/>
        <v>0</v>
      </c>
      <c r="AE39" s="140"/>
      <c r="AF39" s="139">
        <f t="shared" si="49"/>
        <v>0</v>
      </c>
      <c r="AG39" s="101"/>
    </row>
    <row r="40" spans="1:36" x14ac:dyDescent="0.25">
      <c r="A40" s="183" t="s">
        <v>166</v>
      </c>
      <c r="B40" s="148"/>
      <c r="C40" s="148"/>
      <c r="D40" s="148"/>
      <c r="E40" s="148"/>
      <c r="F40" s="148"/>
      <c r="G40" s="148"/>
      <c r="H40" s="148"/>
      <c r="I40" s="149"/>
      <c r="J40" s="148"/>
      <c r="K40" s="148"/>
      <c r="L40" s="526"/>
      <c r="M40" s="180">
        <v>0.1</v>
      </c>
      <c r="N40" s="150"/>
      <c r="O40" s="150"/>
      <c r="P40" s="150"/>
      <c r="Q40" s="150"/>
      <c r="R40" s="150"/>
      <c r="S40" s="150"/>
      <c r="T40" s="150"/>
      <c r="U40" s="150"/>
      <c r="V40" s="151">
        <f t="shared" ref="V40:AF40" si="52">SUM(V34:V39)</f>
        <v>22</v>
      </c>
      <c r="W40" s="151">
        <f t="shared" si="52"/>
        <v>4466</v>
      </c>
      <c r="X40" s="151">
        <f t="shared" si="52"/>
        <v>147852927.97041434</v>
      </c>
      <c r="Y40" s="151">
        <f t="shared" si="52"/>
        <v>50391176</v>
      </c>
      <c r="Z40" s="151">
        <f t="shared" si="52"/>
        <v>9353300</v>
      </c>
      <c r="AA40" s="151">
        <f t="shared" si="52"/>
        <v>11024200</v>
      </c>
      <c r="AB40" s="151">
        <f t="shared" si="52"/>
        <v>18480000</v>
      </c>
      <c r="AC40" s="151">
        <f t="shared" si="52"/>
        <v>11800550.371905681</v>
      </c>
      <c r="AD40" s="151">
        <f t="shared" si="52"/>
        <v>13893471.057041988</v>
      </c>
      <c r="AE40" s="149">
        <f t="shared" si="52"/>
        <v>114942697.42894766</v>
      </c>
      <c r="AF40" s="151">
        <f t="shared" si="52"/>
        <v>32910230.541466679</v>
      </c>
      <c r="AG40" s="101"/>
    </row>
    <row r="41" spans="1:36" ht="15.75" customHeight="1" x14ac:dyDescent="0.25">
      <c r="A41" s="515" t="s">
        <v>149</v>
      </c>
      <c r="B41" s="506">
        <v>20</v>
      </c>
      <c r="C41" s="152">
        <v>1</v>
      </c>
      <c r="D41" s="506" t="s">
        <v>150</v>
      </c>
      <c r="E41" s="152" t="s">
        <v>153</v>
      </c>
      <c r="F41" s="152" t="s">
        <v>159</v>
      </c>
      <c r="G41" s="152">
        <v>400</v>
      </c>
      <c r="H41" s="152">
        <f t="shared" ref="H41:H46" si="53">+G41*H$3</f>
        <v>8800</v>
      </c>
      <c r="I41" s="153">
        <v>8441</v>
      </c>
      <c r="J41" s="152">
        <v>620</v>
      </c>
      <c r="K41" s="152">
        <v>1500</v>
      </c>
      <c r="L41" s="526"/>
      <c r="M41" s="507">
        <f>+L34*M40</f>
        <v>8000000</v>
      </c>
      <c r="N41" s="153">
        <f t="shared" ref="N41:N46" si="54">+M$12/H41</f>
        <v>909.09090909090912</v>
      </c>
      <c r="O41" s="154">
        <f t="shared" ref="O41:O46" si="55">+N41+K41+J41+I41</f>
        <v>11470.090909090908</v>
      </c>
      <c r="P41" s="108">
        <v>0.44</v>
      </c>
      <c r="Q41" s="155">
        <f t="shared" ref="Q41:Q46" si="56">+O41*P41</f>
        <v>5046.8399999999992</v>
      </c>
      <c r="R41" s="155">
        <f t="shared" ref="R41:R46" si="57">+(O41+Q41)*0.0966</f>
        <v>1595.5355258181819</v>
      </c>
      <c r="S41" s="156">
        <f t="shared" ref="S41:S46" si="58">+(O41+Q41)*0.1111</f>
        <v>1835.0310239999999</v>
      </c>
      <c r="T41" s="152">
        <f t="shared" ref="T41:T46" si="59">+O41+Q41+S41+R41</f>
        <v>19947.497458909089</v>
      </c>
      <c r="U41" s="157">
        <f t="shared" si="51"/>
        <v>26246.707182775117</v>
      </c>
      <c r="V41" s="157">
        <v>4</v>
      </c>
      <c r="W41" s="157">
        <f>+AJ41</f>
        <v>660</v>
      </c>
      <c r="X41" s="116">
        <f t="shared" ref="X41:X46" si="60">+W41*T41</f>
        <v>13165348.322879998</v>
      </c>
      <c r="Y41" s="153">
        <f t="shared" ref="Y41:Y46" si="61">+W41*I41</f>
        <v>5571060</v>
      </c>
      <c r="Z41" s="153">
        <f t="shared" ref="Z41:Z46" si="62">+W41*J41</f>
        <v>409200</v>
      </c>
      <c r="AA41" s="153">
        <f t="shared" ref="AA41:AA46" si="63">+W41*K41</f>
        <v>990000</v>
      </c>
      <c r="AB41" s="153">
        <f t="shared" ref="AB41:AB46" si="64">+W41*N41</f>
        <v>600000</v>
      </c>
      <c r="AC41" s="152">
        <f t="shared" ref="AC41:AC46" si="65">+W41*R41</f>
        <v>1053053.44704</v>
      </c>
      <c r="AD41" s="153">
        <f t="shared" ref="AD41:AD46" si="66">+W41*S41</f>
        <v>1211120.47584</v>
      </c>
      <c r="AE41" s="152">
        <f t="shared" ref="AE41:AE46" si="67">SUM(Y41:AD41)</f>
        <v>9834433.9228799995</v>
      </c>
      <c r="AF41" s="139">
        <f t="shared" ref="AF41:AF46" si="68">+X41-AE41</f>
        <v>3330914.3999999985</v>
      </c>
      <c r="AG41" s="101"/>
      <c r="AI41" s="101">
        <v>30</v>
      </c>
      <c r="AJ41" s="101">
        <f t="shared" si="50"/>
        <v>660</v>
      </c>
    </row>
    <row r="42" spans="1:36" x14ac:dyDescent="0.25">
      <c r="A42" s="515"/>
      <c r="B42" s="506"/>
      <c r="C42" s="152">
        <v>2</v>
      </c>
      <c r="D42" s="506"/>
      <c r="E42" s="152" t="s">
        <v>154</v>
      </c>
      <c r="F42" s="152" t="s">
        <v>159</v>
      </c>
      <c r="G42" s="152">
        <v>400</v>
      </c>
      <c r="H42" s="152">
        <f t="shared" si="53"/>
        <v>8800</v>
      </c>
      <c r="I42" s="153">
        <v>6840</v>
      </c>
      <c r="J42" s="152">
        <v>620</v>
      </c>
      <c r="K42" s="152">
        <v>1500</v>
      </c>
      <c r="L42" s="526"/>
      <c r="M42" s="507"/>
      <c r="N42" s="153">
        <f t="shared" si="54"/>
        <v>909.09090909090912</v>
      </c>
      <c r="O42" s="154">
        <f t="shared" si="55"/>
        <v>9869.0909090909081</v>
      </c>
      <c r="P42" s="108">
        <v>0.48</v>
      </c>
      <c r="Q42" s="155">
        <f t="shared" si="56"/>
        <v>4737.1636363636353</v>
      </c>
      <c r="R42" s="155">
        <f t="shared" si="57"/>
        <v>1410.964189090909</v>
      </c>
      <c r="S42" s="156">
        <f t="shared" si="58"/>
        <v>1622.7548799999997</v>
      </c>
      <c r="T42" s="152">
        <f t="shared" si="59"/>
        <v>17639.973614545452</v>
      </c>
      <c r="U42" s="157">
        <f t="shared" si="51"/>
        <v>23210.491598086119</v>
      </c>
      <c r="V42" s="157">
        <v>4</v>
      </c>
      <c r="W42" s="157">
        <f>+AJ42</f>
        <v>660</v>
      </c>
      <c r="X42" s="116">
        <f t="shared" si="60"/>
        <v>11642382.585599998</v>
      </c>
      <c r="Y42" s="153">
        <f t="shared" si="61"/>
        <v>4514400</v>
      </c>
      <c r="Z42" s="153">
        <f t="shared" si="62"/>
        <v>409200</v>
      </c>
      <c r="AA42" s="153">
        <f t="shared" si="63"/>
        <v>990000</v>
      </c>
      <c r="AB42" s="153">
        <f t="shared" si="64"/>
        <v>600000</v>
      </c>
      <c r="AC42" s="152">
        <f t="shared" si="65"/>
        <v>931236.36479999998</v>
      </c>
      <c r="AD42" s="153">
        <f t="shared" si="66"/>
        <v>1071018.2207999998</v>
      </c>
      <c r="AE42" s="152">
        <f t="shared" si="67"/>
        <v>8515854.5855999999</v>
      </c>
      <c r="AF42" s="139">
        <f t="shared" si="68"/>
        <v>3126527.9999999981</v>
      </c>
      <c r="AG42" s="101"/>
      <c r="AI42" s="101">
        <v>30</v>
      </c>
      <c r="AJ42" s="101">
        <f t="shared" si="50"/>
        <v>660</v>
      </c>
    </row>
    <row r="43" spans="1:36" x14ac:dyDescent="0.25">
      <c r="A43" s="515"/>
      <c r="B43" s="506"/>
      <c r="C43" s="152">
        <v>3</v>
      </c>
      <c r="D43" s="506"/>
      <c r="E43" s="152" t="s">
        <v>155</v>
      </c>
      <c r="F43" s="152" t="s">
        <v>159</v>
      </c>
      <c r="G43" s="152">
        <v>350</v>
      </c>
      <c r="H43" s="152">
        <f t="shared" si="53"/>
        <v>7700</v>
      </c>
      <c r="I43" s="153">
        <v>3771.33</v>
      </c>
      <c r="J43" s="152">
        <v>620</v>
      </c>
      <c r="K43" s="152">
        <v>2000</v>
      </c>
      <c r="L43" s="526"/>
      <c r="M43" s="507"/>
      <c r="N43" s="153">
        <f t="shared" si="54"/>
        <v>1038.9610389610389</v>
      </c>
      <c r="O43" s="154">
        <f t="shared" si="55"/>
        <v>7430.2910389610388</v>
      </c>
      <c r="P43" s="108">
        <v>0.48</v>
      </c>
      <c r="Q43" s="155">
        <f t="shared" si="56"/>
        <v>3566.5396987012987</v>
      </c>
      <c r="R43" s="155">
        <f t="shared" si="57"/>
        <v>1062.2938492581818</v>
      </c>
      <c r="S43" s="156">
        <f t="shared" si="58"/>
        <v>1221.7478949542858</v>
      </c>
      <c r="T43" s="152">
        <f t="shared" si="59"/>
        <v>13280.872481874805</v>
      </c>
      <c r="U43" s="157">
        <f t="shared" si="51"/>
        <v>17474.832212993166</v>
      </c>
      <c r="V43" s="157">
        <v>4</v>
      </c>
      <c r="W43" s="157">
        <f>+AJ43</f>
        <v>660</v>
      </c>
      <c r="X43" s="116">
        <f t="shared" si="60"/>
        <v>8765375.8380373716</v>
      </c>
      <c r="Y43" s="153">
        <f t="shared" si="61"/>
        <v>2489077.7999999998</v>
      </c>
      <c r="Z43" s="153">
        <f t="shared" si="62"/>
        <v>409200</v>
      </c>
      <c r="AA43" s="153">
        <f t="shared" si="63"/>
        <v>1320000</v>
      </c>
      <c r="AB43" s="153">
        <f t="shared" si="64"/>
        <v>685714.28571428568</v>
      </c>
      <c r="AC43" s="152">
        <f t="shared" si="65"/>
        <v>701113.94051039999</v>
      </c>
      <c r="AD43" s="153">
        <f t="shared" si="66"/>
        <v>806353.6106698286</v>
      </c>
      <c r="AE43" s="152">
        <f t="shared" si="67"/>
        <v>6411459.6368945139</v>
      </c>
      <c r="AF43" s="139">
        <f t="shared" si="68"/>
        <v>2353916.2011428578</v>
      </c>
      <c r="AG43" s="101"/>
      <c r="AI43" s="101">
        <v>30</v>
      </c>
      <c r="AJ43" s="101">
        <f t="shared" si="50"/>
        <v>660</v>
      </c>
    </row>
    <row r="44" spans="1:36" x14ac:dyDescent="0.25">
      <c r="A44" s="516"/>
      <c r="B44" s="506"/>
      <c r="C44" s="152">
        <v>4</v>
      </c>
      <c r="D44" s="506" t="s">
        <v>326</v>
      </c>
      <c r="E44" s="506"/>
      <c r="F44" s="152" t="s">
        <v>133</v>
      </c>
      <c r="G44" s="152">
        <v>300</v>
      </c>
      <c r="H44" s="152">
        <f t="shared" si="53"/>
        <v>6600</v>
      </c>
      <c r="I44" s="153">
        <v>10945.43</v>
      </c>
      <c r="J44" s="152">
        <v>2062</v>
      </c>
      <c r="K44" s="152">
        <v>3000</v>
      </c>
      <c r="L44" s="526"/>
      <c r="M44" s="507"/>
      <c r="N44" s="153">
        <f t="shared" si="54"/>
        <v>1212.121212121212</v>
      </c>
      <c r="O44" s="154">
        <f t="shared" si="55"/>
        <v>17219.551212121212</v>
      </c>
      <c r="P44" s="108">
        <v>0.3</v>
      </c>
      <c r="Q44" s="155">
        <f t="shared" si="56"/>
        <v>5165.8653636363633</v>
      </c>
      <c r="R44" s="155">
        <f t="shared" si="57"/>
        <v>2162.4312412181821</v>
      </c>
      <c r="S44" s="156">
        <f t="shared" si="58"/>
        <v>2487.0197815666666</v>
      </c>
      <c r="T44" s="152">
        <f t="shared" si="59"/>
        <v>27034.867598542423</v>
      </c>
      <c r="U44" s="157">
        <f t="shared" si="51"/>
        <v>35572.194208608453</v>
      </c>
      <c r="V44" s="157">
        <v>6</v>
      </c>
      <c r="W44" s="157">
        <f>+AJ44</f>
        <v>1100</v>
      </c>
      <c r="X44" s="116">
        <f t="shared" si="60"/>
        <v>29738354.358396664</v>
      </c>
      <c r="Y44" s="153">
        <f t="shared" si="61"/>
        <v>12039973</v>
      </c>
      <c r="Z44" s="153">
        <f t="shared" si="62"/>
        <v>2268200</v>
      </c>
      <c r="AA44" s="153">
        <f t="shared" si="63"/>
        <v>3300000</v>
      </c>
      <c r="AB44" s="153">
        <f t="shared" si="64"/>
        <v>1333333.3333333333</v>
      </c>
      <c r="AC44" s="152">
        <f t="shared" si="65"/>
        <v>2378674.3653400005</v>
      </c>
      <c r="AD44" s="153">
        <f t="shared" si="66"/>
        <v>2735721.7597233332</v>
      </c>
      <c r="AE44" s="152">
        <f t="shared" si="67"/>
        <v>24055902.458396666</v>
      </c>
      <c r="AF44" s="139">
        <f t="shared" si="68"/>
        <v>5682451.8999999985</v>
      </c>
      <c r="AG44" s="101"/>
      <c r="AI44" s="101">
        <v>50</v>
      </c>
      <c r="AJ44" s="101">
        <f t="shared" si="50"/>
        <v>1100</v>
      </c>
    </row>
    <row r="45" spans="1:36" x14ac:dyDescent="0.25">
      <c r="A45" s="516"/>
      <c r="B45" s="506"/>
      <c r="C45" s="152">
        <v>5</v>
      </c>
      <c r="D45" s="506" t="s">
        <v>327</v>
      </c>
      <c r="E45" s="506"/>
      <c r="F45" s="152" t="s">
        <v>159</v>
      </c>
      <c r="G45" s="152">
        <v>400</v>
      </c>
      <c r="H45" s="152">
        <f t="shared" si="53"/>
        <v>8800</v>
      </c>
      <c r="I45" s="153">
        <v>9008</v>
      </c>
      <c r="J45" s="152">
        <v>620</v>
      </c>
      <c r="K45" s="152">
        <v>1000</v>
      </c>
      <c r="L45" s="526"/>
      <c r="M45" s="507"/>
      <c r="N45" s="153">
        <f t="shared" si="54"/>
        <v>909.09090909090912</v>
      </c>
      <c r="O45" s="154">
        <f t="shared" si="55"/>
        <v>11537.090909090908</v>
      </c>
      <c r="P45" s="108">
        <v>0.29499999999999998</v>
      </c>
      <c r="Q45" s="155">
        <f t="shared" si="56"/>
        <v>3403.4418181818178</v>
      </c>
      <c r="R45" s="155">
        <f t="shared" si="57"/>
        <v>1443.2554614545454</v>
      </c>
      <c r="S45" s="156">
        <f t="shared" si="58"/>
        <v>1659.893186</v>
      </c>
      <c r="T45" s="152">
        <f t="shared" si="59"/>
        <v>18043.681374727272</v>
      </c>
      <c r="U45" s="157">
        <f t="shared" si="51"/>
        <v>23741.686019377987</v>
      </c>
      <c r="V45" s="157">
        <v>4</v>
      </c>
      <c r="W45" s="157">
        <f>+AJ45</f>
        <v>660</v>
      </c>
      <c r="X45" s="116">
        <f t="shared" si="60"/>
        <v>11908829.707319999</v>
      </c>
      <c r="Y45" s="153">
        <f t="shared" si="61"/>
        <v>5945280</v>
      </c>
      <c r="Z45" s="153">
        <f t="shared" si="62"/>
        <v>409200</v>
      </c>
      <c r="AA45" s="153">
        <f t="shared" si="63"/>
        <v>660000</v>
      </c>
      <c r="AB45" s="153">
        <f t="shared" si="64"/>
        <v>600000</v>
      </c>
      <c r="AC45" s="152">
        <f t="shared" si="65"/>
        <v>952548.60456000001</v>
      </c>
      <c r="AD45" s="153">
        <f t="shared" si="66"/>
        <v>1095529.5027600001</v>
      </c>
      <c r="AE45" s="152">
        <f>SUM(Y45:AD45)</f>
        <v>9662558.1073200013</v>
      </c>
      <c r="AF45" s="139">
        <f t="shared" si="68"/>
        <v>2246271.5999999978</v>
      </c>
      <c r="AG45" s="101"/>
      <c r="AI45" s="101">
        <v>30</v>
      </c>
      <c r="AJ45" s="101">
        <f t="shared" si="50"/>
        <v>660</v>
      </c>
    </row>
    <row r="46" spans="1:36" x14ac:dyDescent="0.25">
      <c r="A46" s="516"/>
      <c r="B46" s="506"/>
      <c r="C46" s="152">
        <v>6</v>
      </c>
      <c r="D46" s="508" t="s">
        <v>328</v>
      </c>
      <c r="E46" s="509"/>
      <c r="F46" s="158" t="s">
        <v>329</v>
      </c>
      <c r="G46" s="158">
        <v>400</v>
      </c>
      <c r="H46" s="152">
        <f t="shared" si="53"/>
        <v>8800</v>
      </c>
      <c r="I46" s="159">
        <v>985</v>
      </c>
      <c r="J46" s="158">
        <v>1200</v>
      </c>
      <c r="K46" s="158">
        <v>1000</v>
      </c>
      <c r="L46" s="526"/>
      <c r="M46" s="507"/>
      <c r="N46" s="153">
        <f t="shared" si="54"/>
        <v>909.09090909090912</v>
      </c>
      <c r="O46" s="154">
        <f t="shared" si="55"/>
        <v>4094.090909090909</v>
      </c>
      <c r="P46" s="108">
        <v>0.8</v>
      </c>
      <c r="Q46" s="155">
        <f t="shared" si="56"/>
        <v>3275.2727272727275</v>
      </c>
      <c r="R46" s="155">
        <f t="shared" si="57"/>
        <v>711.88052727272725</v>
      </c>
      <c r="S46" s="156">
        <f t="shared" si="58"/>
        <v>818.73630000000003</v>
      </c>
      <c r="T46" s="152">
        <f t="shared" si="59"/>
        <v>8899.9804636363642</v>
      </c>
      <c r="U46" s="157">
        <f t="shared" si="51"/>
        <v>11710.500610047848</v>
      </c>
      <c r="V46" s="157"/>
      <c r="W46" s="157"/>
      <c r="X46" s="116">
        <f t="shared" si="60"/>
        <v>0</v>
      </c>
      <c r="Y46" s="153">
        <f t="shared" si="61"/>
        <v>0</v>
      </c>
      <c r="Z46" s="153">
        <f t="shared" si="62"/>
        <v>0</v>
      </c>
      <c r="AA46" s="153">
        <f t="shared" si="63"/>
        <v>0</v>
      </c>
      <c r="AB46" s="153">
        <f t="shared" si="64"/>
        <v>0</v>
      </c>
      <c r="AC46" s="152">
        <f t="shared" si="65"/>
        <v>0</v>
      </c>
      <c r="AD46" s="153">
        <f t="shared" si="66"/>
        <v>0</v>
      </c>
      <c r="AE46" s="152">
        <f t="shared" si="67"/>
        <v>0</v>
      </c>
      <c r="AF46" s="139">
        <f t="shared" si="68"/>
        <v>0</v>
      </c>
      <c r="AG46" s="101"/>
      <c r="AJ46" s="101">
        <f t="shared" si="50"/>
        <v>0</v>
      </c>
    </row>
    <row r="47" spans="1:36" x14ac:dyDescent="0.25">
      <c r="A47" s="160" t="s">
        <v>167</v>
      </c>
      <c r="B47" s="117"/>
      <c r="C47" s="117"/>
      <c r="D47" s="117"/>
      <c r="E47" s="117"/>
      <c r="F47" s="117"/>
      <c r="G47" s="117"/>
      <c r="H47" s="117"/>
      <c r="I47" s="161"/>
      <c r="J47" s="117"/>
      <c r="K47" s="117"/>
      <c r="L47" s="526"/>
      <c r="M47" s="181">
        <v>0.35</v>
      </c>
      <c r="N47" s="162"/>
      <c r="O47" s="162"/>
      <c r="P47" s="162"/>
      <c r="Q47" s="162"/>
      <c r="R47" s="162"/>
      <c r="S47" s="162"/>
      <c r="T47" s="162"/>
      <c r="U47" s="162"/>
      <c r="V47" s="163">
        <f t="shared" ref="V47:AF47" si="69">SUM(V41:V46)</f>
        <v>22</v>
      </c>
      <c r="W47" s="163">
        <f t="shared" si="69"/>
        <v>3740</v>
      </c>
      <c r="X47" s="163">
        <f t="shared" si="69"/>
        <v>75220290.812234029</v>
      </c>
      <c r="Y47" s="163">
        <f t="shared" si="69"/>
        <v>30559790.800000001</v>
      </c>
      <c r="Z47" s="163">
        <f t="shared" si="69"/>
        <v>3905000</v>
      </c>
      <c r="AA47" s="163">
        <f t="shared" si="69"/>
        <v>7260000</v>
      </c>
      <c r="AB47" s="163">
        <f t="shared" si="69"/>
        <v>3819047.6190476189</v>
      </c>
      <c r="AC47" s="163">
        <f t="shared" si="69"/>
        <v>6016626.722250401</v>
      </c>
      <c r="AD47" s="163">
        <f t="shared" si="69"/>
        <v>6919743.569793161</v>
      </c>
      <c r="AE47" s="163">
        <f t="shared" si="69"/>
        <v>58480208.711091183</v>
      </c>
      <c r="AF47" s="163">
        <f t="shared" si="69"/>
        <v>16740082.10114285</v>
      </c>
      <c r="AG47" s="101"/>
      <c r="AJ47" s="101">
        <f t="shared" si="50"/>
        <v>0</v>
      </c>
    </row>
    <row r="48" spans="1:36" ht="15.75" customHeight="1" x14ac:dyDescent="0.25">
      <c r="A48" s="518" t="s">
        <v>172</v>
      </c>
      <c r="B48" s="521">
        <v>40</v>
      </c>
      <c r="C48" s="164">
        <v>1</v>
      </c>
      <c r="D48" s="524" t="s">
        <v>296</v>
      </c>
      <c r="E48" s="524"/>
      <c r="F48" s="164" t="s">
        <v>133</v>
      </c>
      <c r="G48" s="164">
        <v>1000</v>
      </c>
      <c r="H48" s="164">
        <f>+G48*H$3</f>
        <v>22000</v>
      </c>
      <c r="I48" s="165">
        <v>19779</v>
      </c>
      <c r="J48" s="164">
        <v>1450</v>
      </c>
      <c r="K48" s="164">
        <v>400</v>
      </c>
      <c r="L48" s="526"/>
      <c r="M48" s="528">
        <f>+L34*M47</f>
        <v>28000000</v>
      </c>
      <c r="N48" s="166">
        <f>+M$23/H48</f>
        <v>1272.7272727272727</v>
      </c>
      <c r="O48" s="167">
        <f>+N48+K48+J48+I48</f>
        <v>22901.727272727272</v>
      </c>
      <c r="P48" s="109">
        <v>0.1</v>
      </c>
      <c r="Q48" s="168">
        <f>+O48*P48</f>
        <v>2290.1727272727271</v>
      </c>
      <c r="R48" s="168">
        <f>+(O48+Q48)*0.0966</f>
        <v>2433.5375399999998</v>
      </c>
      <c r="S48" s="169">
        <f>+(O48+Q48)*0.1111</f>
        <v>2798.8200899999997</v>
      </c>
      <c r="T48" s="169">
        <f>+O48+Q48+S48+R48</f>
        <v>30424.25763</v>
      </c>
      <c r="U48" s="171">
        <f>+T48*100/76</f>
        <v>40031.917934210527</v>
      </c>
      <c r="V48" s="171">
        <v>6</v>
      </c>
      <c r="W48" s="171">
        <f>+AJ48</f>
        <v>1760</v>
      </c>
      <c r="X48" s="116">
        <f>+W48*T48</f>
        <v>53546693.428800002</v>
      </c>
      <c r="Y48" s="165">
        <f>+W48*I48</f>
        <v>34811040</v>
      </c>
      <c r="Z48" s="165">
        <f>+W48*J48</f>
        <v>2552000</v>
      </c>
      <c r="AA48" s="165">
        <f>+W48*K48</f>
        <v>704000</v>
      </c>
      <c r="AB48" s="166">
        <f>+W48*N48</f>
        <v>2240000</v>
      </c>
      <c r="AC48" s="170">
        <f>+W48*R48</f>
        <v>4283026.0703999996</v>
      </c>
      <c r="AD48" s="166">
        <f>+W48*S48</f>
        <v>4925923.3583999993</v>
      </c>
      <c r="AE48" s="170">
        <f>SUM(Y48:AD48)</f>
        <v>49515989.428800002</v>
      </c>
      <c r="AF48" s="139">
        <f>+X48-AE48</f>
        <v>4030704</v>
      </c>
      <c r="AG48" s="101"/>
      <c r="AI48" s="101">
        <v>80</v>
      </c>
      <c r="AJ48" s="101">
        <f t="shared" si="50"/>
        <v>1760</v>
      </c>
    </row>
    <row r="49" spans="1:36" ht="15.75" customHeight="1" x14ac:dyDescent="0.25">
      <c r="A49" s="519"/>
      <c r="B49" s="522"/>
      <c r="C49" s="164">
        <v>2</v>
      </c>
      <c r="D49" s="524" t="s">
        <v>307</v>
      </c>
      <c r="E49" s="524"/>
      <c r="F49" s="164" t="s">
        <v>133</v>
      </c>
      <c r="G49" s="164">
        <v>1000</v>
      </c>
      <c r="H49" s="164">
        <f>+G49*H$3</f>
        <v>22000</v>
      </c>
      <c r="I49" s="165">
        <v>11532</v>
      </c>
      <c r="J49" s="164">
        <v>1450</v>
      </c>
      <c r="K49" s="164">
        <v>400</v>
      </c>
      <c r="L49" s="526"/>
      <c r="M49" s="528"/>
      <c r="N49" s="166">
        <f>+M$23/H49</f>
        <v>1272.7272727272727</v>
      </c>
      <c r="O49" s="167">
        <f>+N49+K49+J49+I49</f>
        <v>14654.727272727272</v>
      </c>
      <c r="P49" s="109">
        <v>0.55000000000000004</v>
      </c>
      <c r="Q49" s="168">
        <f>+O49*P49</f>
        <v>8060.1</v>
      </c>
      <c r="R49" s="168">
        <f>+(O49+Q49)*0.0966</f>
        <v>2194.2523145454543</v>
      </c>
      <c r="S49" s="169">
        <f>+(O49+Q49)*0.1111</f>
        <v>2523.6173100000001</v>
      </c>
      <c r="T49" s="169">
        <f>+O49+Q49+S49+R49</f>
        <v>27432.696897272726</v>
      </c>
      <c r="U49" s="171">
        <f t="shared" si="51"/>
        <v>36095.653812200959</v>
      </c>
      <c r="V49" s="171">
        <v>6</v>
      </c>
      <c r="W49" s="171">
        <f>+AJ49</f>
        <v>1540</v>
      </c>
      <c r="X49" s="116">
        <f>+W49*T49</f>
        <v>42246353.221799999</v>
      </c>
      <c r="Y49" s="165">
        <f>+W49*I49</f>
        <v>17759280</v>
      </c>
      <c r="Z49" s="165">
        <f>+W49*J49</f>
        <v>2233000</v>
      </c>
      <c r="AA49" s="165">
        <f>+W49*K49</f>
        <v>616000</v>
      </c>
      <c r="AB49" s="166">
        <f>+W49*N49</f>
        <v>1960000</v>
      </c>
      <c r="AC49" s="170">
        <f>+W49*R49</f>
        <v>3379148.5643999996</v>
      </c>
      <c r="AD49" s="166">
        <f>+W49*S49</f>
        <v>3886370.6573999999</v>
      </c>
      <c r="AE49" s="170">
        <f>SUM(Y49:AD49)</f>
        <v>29833799.221799999</v>
      </c>
      <c r="AF49" s="139">
        <f>+X49-AE49</f>
        <v>12412554</v>
      </c>
      <c r="AI49" s="101">
        <v>70</v>
      </c>
      <c r="AJ49" s="101">
        <f t="shared" si="50"/>
        <v>1540</v>
      </c>
    </row>
    <row r="50" spans="1:36" ht="15.75" customHeight="1" x14ac:dyDescent="0.25">
      <c r="A50" s="519"/>
      <c r="B50" s="522"/>
      <c r="C50" s="164">
        <v>3</v>
      </c>
      <c r="D50" s="524" t="s">
        <v>308</v>
      </c>
      <c r="E50" s="524"/>
      <c r="F50" s="164" t="s">
        <v>133</v>
      </c>
      <c r="G50" s="164">
        <v>1000</v>
      </c>
      <c r="H50" s="164">
        <f>+G50*H$3</f>
        <v>22000</v>
      </c>
      <c r="I50" s="165">
        <v>11740</v>
      </c>
      <c r="J50" s="164">
        <v>1450</v>
      </c>
      <c r="K50" s="164">
        <v>400</v>
      </c>
      <c r="L50" s="526"/>
      <c r="M50" s="528"/>
      <c r="N50" s="166">
        <f>+M$23/H50</f>
        <v>1272.7272727272727</v>
      </c>
      <c r="O50" s="167">
        <f>+N50+K50+J50+I50</f>
        <v>14862.727272727272</v>
      </c>
      <c r="P50" s="109">
        <v>0.25</v>
      </c>
      <c r="Q50" s="168">
        <f>+O50*P50</f>
        <v>3715.681818181818</v>
      </c>
      <c r="R50" s="168">
        <f>+(O50+Q50)*0.0966</f>
        <v>1794.6743181818181</v>
      </c>
      <c r="S50" s="169">
        <f>+(O50+Q50)*0.1111</f>
        <v>2064.0612499999997</v>
      </c>
      <c r="T50" s="169">
        <f>+O50+Q50+S50+R50</f>
        <v>22437.144659090904</v>
      </c>
      <c r="U50" s="171">
        <f t="shared" si="51"/>
        <v>29522.558761961714</v>
      </c>
      <c r="V50" s="171">
        <v>5</v>
      </c>
      <c r="W50" s="171">
        <f>+AJ50</f>
        <v>1320</v>
      </c>
      <c r="X50" s="116">
        <f>+W50*T50</f>
        <v>29617030.949999992</v>
      </c>
      <c r="Y50" s="165">
        <f>+W50*I50</f>
        <v>15496800</v>
      </c>
      <c r="Z50" s="165">
        <f>+W50*J50</f>
        <v>1914000</v>
      </c>
      <c r="AA50" s="165">
        <f>+W50*K50</f>
        <v>528000</v>
      </c>
      <c r="AB50" s="166">
        <f>+W50*N50</f>
        <v>1680000</v>
      </c>
      <c r="AC50" s="170">
        <f>+W50*R50</f>
        <v>2368970.1</v>
      </c>
      <c r="AD50" s="166">
        <f>+W50*S50</f>
        <v>2724560.8499999996</v>
      </c>
      <c r="AE50" s="170">
        <f>SUM(Y50:AD50)</f>
        <v>24712330.950000003</v>
      </c>
      <c r="AF50" s="139">
        <f>+X50-AE50</f>
        <v>4904699.9999999888</v>
      </c>
      <c r="AI50" s="101">
        <v>60</v>
      </c>
      <c r="AJ50" s="101">
        <f t="shared" si="50"/>
        <v>1320</v>
      </c>
    </row>
    <row r="51" spans="1:36" ht="15.75" customHeight="1" x14ac:dyDescent="0.25">
      <c r="A51" s="520"/>
      <c r="B51" s="523"/>
      <c r="C51" s="164">
        <v>4</v>
      </c>
      <c r="D51" s="524" t="s">
        <v>304</v>
      </c>
      <c r="E51" s="524"/>
      <c r="F51" s="164" t="s">
        <v>133</v>
      </c>
      <c r="G51" s="164">
        <v>1000</v>
      </c>
      <c r="H51" s="164">
        <f>+G51*H$3</f>
        <v>22000</v>
      </c>
      <c r="I51" s="165">
        <v>8627</v>
      </c>
      <c r="J51" s="164">
        <v>1450</v>
      </c>
      <c r="K51" s="164">
        <v>400</v>
      </c>
      <c r="L51" s="527"/>
      <c r="M51" s="528"/>
      <c r="N51" s="166">
        <f>+M$23/H51</f>
        <v>1272.7272727272727</v>
      </c>
      <c r="O51" s="167">
        <f>+N51+K51+J51+I51</f>
        <v>11749.727272727272</v>
      </c>
      <c r="P51" s="109">
        <v>0.45</v>
      </c>
      <c r="Q51" s="168">
        <f>+O51*P51</f>
        <v>5287.3772727272726</v>
      </c>
      <c r="R51" s="168">
        <f>+(O51+Q51)*0.0966</f>
        <v>1645.7842990909091</v>
      </c>
      <c r="S51" s="169">
        <f>+(O51+Q51)*0.1111</f>
        <v>1892.8223150000001</v>
      </c>
      <c r="T51" s="169">
        <f>+O51+Q51+S51+R51</f>
        <v>20575.711159545455</v>
      </c>
      <c r="U51" s="171">
        <f t="shared" si="51"/>
        <v>27073.30415729665</v>
      </c>
      <c r="V51" s="171">
        <v>5</v>
      </c>
      <c r="W51" s="171">
        <f>+AJ51</f>
        <v>1320</v>
      </c>
      <c r="X51" s="116">
        <f>+W51*T51</f>
        <v>27159938.730599999</v>
      </c>
      <c r="Y51" s="165">
        <f>+W51*I51</f>
        <v>11387640</v>
      </c>
      <c r="Z51" s="165">
        <f>+W51*J51</f>
        <v>1914000</v>
      </c>
      <c r="AA51" s="165">
        <f>+W51*K51</f>
        <v>528000</v>
      </c>
      <c r="AB51" s="166">
        <f>+W51*N51</f>
        <v>1680000</v>
      </c>
      <c r="AC51" s="170">
        <f>+W51*R51</f>
        <v>2172435.2748000002</v>
      </c>
      <c r="AD51" s="166">
        <f>+W51*S51</f>
        <v>2498525.4558000001</v>
      </c>
      <c r="AE51" s="170">
        <f>SUM(Y51:AD51)</f>
        <v>20180600.730599999</v>
      </c>
      <c r="AF51" s="139">
        <f>+X51-AE51</f>
        <v>6979338</v>
      </c>
      <c r="AI51" s="101">
        <v>60</v>
      </c>
      <c r="AJ51" s="101">
        <f t="shared" si="50"/>
        <v>1320</v>
      </c>
    </row>
    <row r="52" spans="1:36" x14ac:dyDescent="0.25">
      <c r="A52" s="172"/>
      <c r="B52" s="173"/>
      <c r="C52" s="173"/>
      <c r="D52" s="173"/>
      <c r="E52" s="173"/>
      <c r="F52" s="173"/>
      <c r="G52" s="173"/>
      <c r="H52" s="173"/>
      <c r="I52" s="174"/>
      <c r="J52" s="173"/>
      <c r="K52" s="173"/>
      <c r="L52" s="173"/>
      <c r="M52" s="175"/>
      <c r="N52" s="176">
        <f t="shared" ref="N52:AF52" si="70">SUM(N48:N51)</f>
        <v>5090.909090909091</v>
      </c>
      <c r="O52" s="176">
        <f t="shared" si="70"/>
        <v>64168.909090909088</v>
      </c>
      <c r="P52" s="176">
        <f t="shared" si="70"/>
        <v>1.35</v>
      </c>
      <c r="Q52" s="176">
        <f t="shared" si="70"/>
        <v>19353.331818181818</v>
      </c>
      <c r="R52" s="176">
        <f t="shared" si="70"/>
        <v>8068.2484718181813</v>
      </c>
      <c r="S52" s="176">
        <f t="shared" si="70"/>
        <v>9279.320964999999</v>
      </c>
      <c r="T52" s="176">
        <f t="shared" si="70"/>
        <v>100869.81034590909</v>
      </c>
      <c r="U52" s="176">
        <f t="shared" si="70"/>
        <v>132723.43466566986</v>
      </c>
      <c r="V52" s="118">
        <f t="shared" si="70"/>
        <v>22</v>
      </c>
      <c r="W52" s="118">
        <f t="shared" si="70"/>
        <v>5940</v>
      </c>
      <c r="X52" s="118">
        <f t="shared" si="70"/>
        <v>152570016.3312</v>
      </c>
      <c r="Y52" s="118">
        <f t="shared" si="70"/>
        <v>79454760</v>
      </c>
      <c r="Z52" s="118">
        <f t="shared" si="70"/>
        <v>8613000</v>
      </c>
      <c r="AA52" s="118">
        <f t="shared" si="70"/>
        <v>2376000</v>
      </c>
      <c r="AB52" s="118">
        <f t="shared" si="70"/>
        <v>7560000</v>
      </c>
      <c r="AC52" s="118">
        <f t="shared" si="70"/>
        <v>12203580.0096</v>
      </c>
      <c r="AD52" s="118">
        <f t="shared" si="70"/>
        <v>14035380.321599999</v>
      </c>
      <c r="AE52" s="118">
        <f t="shared" si="70"/>
        <v>124242720.3312</v>
      </c>
      <c r="AF52" s="118">
        <f t="shared" si="70"/>
        <v>28327295.999999989</v>
      </c>
      <c r="AJ52" s="101">
        <f t="shared" si="50"/>
        <v>0</v>
      </c>
    </row>
    <row r="53" spans="1:36" x14ac:dyDescent="0.25">
      <c r="A53" s="119"/>
      <c r="B53" s="119"/>
      <c r="C53" s="119"/>
      <c r="D53" s="119"/>
      <c r="E53" s="119"/>
      <c r="F53" s="119"/>
      <c r="G53" s="119"/>
      <c r="H53" s="119"/>
      <c r="I53" s="178"/>
      <c r="J53" s="119"/>
      <c r="K53" s="119"/>
      <c r="L53" s="119"/>
      <c r="M53" s="119"/>
      <c r="N53" s="119"/>
      <c r="O53" s="179"/>
      <c r="P53" s="179"/>
      <c r="Q53" s="119"/>
      <c r="R53" s="119"/>
      <c r="S53" s="178"/>
      <c r="T53" s="119"/>
      <c r="U53" s="110"/>
      <c r="V53" s="110">
        <v>22</v>
      </c>
      <c r="W53" s="110">
        <f t="shared" ref="W53:AF53" si="71">+W52+W47+W40</f>
        <v>14146</v>
      </c>
      <c r="X53" s="110">
        <f t="shared" si="71"/>
        <v>375643235.11384839</v>
      </c>
      <c r="Y53" s="110">
        <f t="shared" si="71"/>
        <v>160405726.80000001</v>
      </c>
      <c r="Z53" s="110">
        <f t="shared" si="71"/>
        <v>21871300</v>
      </c>
      <c r="AA53" s="110">
        <f t="shared" si="71"/>
        <v>20660200</v>
      </c>
      <c r="AB53" s="110">
        <f t="shared" si="71"/>
        <v>29859047.619047619</v>
      </c>
      <c r="AC53" s="110">
        <f t="shared" si="71"/>
        <v>30020757.103756081</v>
      </c>
      <c r="AD53" s="110">
        <f t="shared" si="71"/>
        <v>34848594.94843515</v>
      </c>
      <c r="AE53" s="110">
        <f t="shared" si="71"/>
        <v>297665626.47123885</v>
      </c>
      <c r="AF53" s="110">
        <f t="shared" si="71"/>
        <v>77977608.642609522</v>
      </c>
    </row>
    <row r="54" spans="1:36" x14ac:dyDescent="0.25">
      <c r="AE54" s="125"/>
    </row>
    <row r="55" spans="1:36" ht="23.25" x14ac:dyDescent="0.25">
      <c r="A55" s="532" t="s">
        <v>519</v>
      </c>
      <c r="B55" s="532"/>
      <c r="C55" s="532"/>
      <c r="D55" s="532"/>
      <c r="E55" s="532"/>
      <c r="F55" s="532"/>
      <c r="G55" s="532"/>
      <c r="H55" s="532"/>
      <c r="I55" s="532"/>
      <c r="J55" s="532"/>
      <c r="K55" s="532"/>
      <c r="L55" s="532"/>
      <c r="M55" s="532"/>
      <c r="N55" s="532"/>
      <c r="O55" s="532"/>
      <c r="P55" s="532"/>
      <c r="Q55" s="532"/>
      <c r="R55" s="532"/>
      <c r="S55" s="532"/>
      <c r="T55"/>
      <c r="U55"/>
      <c r="V55"/>
      <c r="X55" s="125"/>
      <c r="Y55" s="105"/>
      <c r="AB55" s="125"/>
    </row>
    <row r="56" spans="1:36" ht="63" x14ac:dyDescent="0.25">
      <c r="A56" s="292" t="s">
        <v>163</v>
      </c>
      <c r="B56" s="292" t="s">
        <v>164</v>
      </c>
      <c r="C56" s="119"/>
      <c r="D56" s="510" t="s">
        <v>157</v>
      </c>
      <c r="E56" s="510"/>
      <c r="F56" s="292" t="s">
        <v>165</v>
      </c>
      <c r="G56" s="292" t="s">
        <v>320</v>
      </c>
      <c r="H56" s="292" t="s">
        <v>368</v>
      </c>
      <c r="I56" s="120" t="s">
        <v>171</v>
      </c>
      <c r="J56" s="292" t="s">
        <v>170</v>
      </c>
      <c r="K56" s="292" t="s">
        <v>6</v>
      </c>
      <c r="L56" s="292" t="s">
        <v>385</v>
      </c>
      <c r="M56" s="292" t="s">
        <v>386</v>
      </c>
      <c r="N56" s="292" t="s">
        <v>387</v>
      </c>
      <c r="O56" s="292" t="s">
        <v>330</v>
      </c>
      <c r="P56" s="292" t="s">
        <v>389</v>
      </c>
      <c r="Q56" s="292" t="s">
        <v>390</v>
      </c>
      <c r="R56" s="292" t="s">
        <v>520</v>
      </c>
      <c r="S56" s="292" t="s">
        <v>521</v>
      </c>
      <c r="T56" s="292" t="s">
        <v>522</v>
      </c>
      <c r="U56" s="292" t="s">
        <v>523</v>
      </c>
      <c r="V56" s="287" t="s">
        <v>524</v>
      </c>
      <c r="W56" s="101"/>
      <c r="X56" s="102"/>
      <c r="Y56" s="101"/>
      <c r="AA56" s="125"/>
      <c r="AC56" s="125"/>
      <c r="AE56" s="105"/>
      <c r="AF56"/>
      <c r="AG56" s="101"/>
    </row>
    <row r="57" spans="1:36" x14ac:dyDescent="0.25">
      <c r="A57" s="126"/>
      <c r="B57" s="127"/>
      <c r="C57" s="127"/>
      <c r="D57" s="127"/>
      <c r="E57" s="127"/>
      <c r="F57" s="127"/>
      <c r="G57" s="127"/>
      <c r="H57" s="121">
        <v>22</v>
      </c>
      <c r="I57" s="128"/>
      <c r="J57" s="127"/>
      <c r="K57" s="127"/>
      <c r="L57" s="129"/>
      <c r="M57" s="106">
        <v>0.55000000000000004</v>
      </c>
      <c r="N57" s="130"/>
      <c r="O57" s="130"/>
      <c r="P57" s="130"/>
      <c r="Q57" s="131"/>
      <c r="R57" s="188"/>
      <c r="S57" s="188"/>
      <c r="T57" s="22"/>
      <c r="U57" s="22"/>
      <c r="V57" s="22"/>
      <c r="W57" s="125">
        <f>+O58+Q58+R4</f>
        <v>21357.97407558667</v>
      </c>
      <c r="X57" s="102">
        <f>+W57*0.1</f>
        <v>2135.7974075586671</v>
      </c>
      <c r="Y57" s="101"/>
      <c r="AE57" s="105"/>
      <c r="AF57"/>
      <c r="AG57" s="101"/>
    </row>
    <row r="58" spans="1:36" ht="15.75" customHeight="1" x14ac:dyDescent="0.25">
      <c r="A58" s="511" t="s">
        <v>148</v>
      </c>
      <c r="B58" s="517">
        <v>40</v>
      </c>
      <c r="C58" s="289">
        <v>1</v>
      </c>
      <c r="D58" s="517" t="s">
        <v>321</v>
      </c>
      <c r="E58" s="517"/>
      <c r="F58" s="289" t="s">
        <v>161</v>
      </c>
      <c r="G58" s="289">
        <v>480</v>
      </c>
      <c r="H58" s="288">
        <f>+G58*H$3</f>
        <v>10560</v>
      </c>
      <c r="I58" s="288">
        <v>7052</v>
      </c>
      <c r="J58" s="289">
        <v>1250</v>
      </c>
      <c r="K58" s="289">
        <v>2500</v>
      </c>
      <c r="L58" s="530">
        <v>80000000</v>
      </c>
      <c r="M58" s="512">
        <f>+L58*M57</f>
        <v>44000000</v>
      </c>
      <c r="N58" s="288">
        <f>+M$4/H58</f>
        <v>4166.666666666667</v>
      </c>
      <c r="O58" s="142">
        <f>+N58+K58+J58+I58</f>
        <v>14968.666666666668</v>
      </c>
      <c r="P58" s="107">
        <v>0.3</v>
      </c>
      <c r="Q58" s="143">
        <f>+O58*P58</f>
        <v>4490.6000000000004</v>
      </c>
      <c r="R58" s="357">
        <f>+Q58+O58</f>
        <v>19459.26666666667</v>
      </c>
      <c r="S58" s="357">
        <f>+R58+(R58*0.1)</f>
        <v>21405.193333333336</v>
      </c>
      <c r="T58" s="356">
        <f>+S58*1.25</f>
        <v>26756.491666666669</v>
      </c>
      <c r="U58" s="359">
        <f>+V58/11</f>
        <v>486.48166666666674</v>
      </c>
      <c r="V58" s="359">
        <f>+T58*0.2</f>
        <v>5351.2983333333341</v>
      </c>
      <c r="W58" s="125">
        <f>+O58-O4</f>
        <v>0</v>
      </c>
      <c r="X58" s="102">
        <f>+Q58-Q4</f>
        <v>-196.08953333333284</v>
      </c>
      <c r="Y58" s="114">
        <f>+S58-T4-R4</f>
        <v>-4202.9840453986662</v>
      </c>
      <c r="AE58" s="105"/>
      <c r="AF58"/>
      <c r="AG58" s="101"/>
    </row>
    <row r="59" spans="1:36" x14ac:dyDescent="0.25">
      <c r="A59" s="511"/>
      <c r="B59" s="517"/>
      <c r="C59" s="289">
        <v>2</v>
      </c>
      <c r="D59" s="517" t="s">
        <v>322</v>
      </c>
      <c r="E59" s="517"/>
      <c r="F59" s="289" t="s">
        <v>132</v>
      </c>
      <c r="G59" s="289">
        <v>600</v>
      </c>
      <c r="H59" s="288">
        <f>+G59*H$3</f>
        <v>13200</v>
      </c>
      <c r="I59" s="288">
        <v>10463</v>
      </c>
      <c r="J59" s="289">
        <f>1615+580</f>
        <v>2195</v>
      </c>
      <c r="K59" s="289">
        <v>2080</v>
      </c>
      <c r="L59" s="531"/>
      <c r="M59" s="513"/>
      <c r="N59" s="288">
        <f>+M$4/H59</f>
        <v>3333.3333333333335</v>
      </c>
      <c r="O59" s="142">
        <f>+N59+K59+J59+I59</f>
        <v>18071.333333333336</v>
      </c>
      <c r="P59" s="107">
        <v>0.30168</v>
      </c>
      <c r="Q59" s="143">
        <f>+O59*P59</f>
        <v>5451.7598400000006</v>
      </c>
      <c r="R59" s="357">
        <f>+Q59+O59</f>
        <v>23523.093173333335</v>
      </c>
      <c r="S59" s="357">
        <f t="shared" ref="S59:S68" si="72">+R59+(R59*0.1)</f>
        <v>25875.402490666667</v>
      </c>
      <c r="T59" s="356">
        <f t="shared" ref="T59:T68" si="73">+S59*1.25</f>
        <v>32344.253113333332</v>
      </c>
      <c r="U59" s="359">
        <f>+V59/11</f>
        <v>588.0773293333333</v>
      </c>
      <c r="V59" s="359">
        <f t="shared" ref="V59:V68" si="74">+T59*0.2</f>
        <v>6468.8506226666668</v>
      </c>
      <c r="W59" s="125">
        <f>+O59-O5</f>
        <v>0</v>
      </c>
      <c r="X59" s="102">
        <f>+Q59-Q5</f>
        <v>-28.552706666666381</v>
      </c>
      <c r="Y59" s="114">
        <f>+S59-T5-R5</f>
        <v>-4809.0948605501399</v>
      </c>
      <c r="AE59" s="105"/>
      <c r="AF59"/>
      <c r="AG59" s="101"/>
    </row>
    <row r="60" spans="1:36" x14ac:dyDescent="0.25">
      <c r="A60" s="511"/>
      <c r="B60" s="517"/>
      <c r="C60" s="289">
        <v>3</v>
      </c>
      <c r="D60" s="517" t="s">
        <v>323</v>
      </c>
      <c r="E60" s="517"/>
      <c r="F60" s="289" t="s">
        <v>405</v>
      </c>
      <c r="G60" s="289">
        <v>600</v>
      </c>
      <c r="H60" s="288">
        <f>+G60*H$3</f>
        <v>13200</v>
      </c>
      <c r="I60" s="288">
        <v>10143</v>
      </c>
      <c r="J60" s="289">
        <f>1365+580</f>
        <v>1945</v>
      </c>
      <c r="K60" s="289">
        <v>2080</v>
      </c>
      <c r="L60" s="531"/>
      <c r="M60" s="513"/>
      <c r="N60" s="288">
        <f>+M$4/H60</f>
        <v>3333.3333333333335</v>
      </c>
      <c r="O60" s="142">
        <f>+N60+K60+J60+I60</f>
        <v>17501.333333333336</v>
      </c>
      <c r="P60" s="107">
        <v>0.30093999999999999</v>
      </c>
      <c r="Q60" s="143">
        <f>+O60*P60</f>
        <v>5266.8512533333342</v>
      </c>
      <c r="R60" s="357">
        <f>+Q60+O60</f>
        <v>22768.18458666667</v>
      </c>
      <c r="S60" s="357">
        <f t="shared" si="72"/>
        <v>25045.003045333338</v>
      </c>
      <c r="T60" s="356">
        <f t="shared" si="73"/>
        <v>31306.253806666675</v>
      </c>
      <c r="U60" s="359">
        <f>+V60/11</f>
        <v>569.20461466666688</v>
      </c>
      <c r="V60" s="359">
        <f t="shared" si="74"/>
        <v>6261.2507613333355</v>
      </c>
      <c r="W60" s="125">
        <f>+O60-O6</f>
        <v>0</v>
      </c>
      <c r="X60" s="102">
        <f>+Q60-Q6</f>
        <v>-26.899549333333198</v>
      </c>
      <c r="Y60" s="114">
        <f>+S60-T6-R6</f>
        <v>-4653.8002720956265</v>
      </c>
      <c r="AE60" s="105"/>
      <c r="AF60"/>
      <c r="AG60" s="101"/>
    </row>
    <row r="61" spans="1:36" x14ac:dyDescent="0.25">
      <c r="A61" s="511"/>
      <c r="B61" s="517"/>
      <c r="C61" s="289">
        <v>4</v>
      </c>
      <c r="D61" s="517" t="s">
        <v>488</v>
      </c>
      <c r="E61" s="517"/>
      <c r="F61" s="289" t="s">
        <v>160</v>
      </c>
      <c r="G61" s="289">
        <v>400</v>
      </c>
      <c r="H61" s="288">
        <f>+G61*H$3</f>
        <v>8800</v>
      </c>
      <c r="I61" s="288">
        <v>10070</v>
      </c>
      <c r="J61" s="289">
        <v>3000</v>
      </c>
      <c r="K61" s="289">
        <v>2500</v>
      </c>
      <c r="L61" s="531"/>
      <c r="M61" s="513"/>
      <c r="N61" s="288">
        <f>+M$4/H61</f>
        <v>5000</v>
      </c>
      <c r="O61" s="142">
        <f>+N61+K61+J61+I61</f>
        <v>20570</v>
      </c>
      <c r="P61" s="107">
        <v>0.45140000000000002</v>
      </c>
      <c r="Q61" s="143">
        <f>+O61*P61</f>
        <v>9285.2980000000007</v>
      </c>
      <c r="R61" s="357">
        <f>+Q61+O61</f>
        <v>29855.298000000003</v>
      </c>
      <c r="S61" s="357">
        <f t="shared" si="72"/>
        <v>32840.827799999999</v>
      </c>
      <c r="T61" s="356">
        <f t="shared" si="73"/>
        <v>41051.034749999999</v>
      </c>
      <c r="U61" s="359">
        <f>+V61/11</f>
        <v>746.38244999999995</v>
      </c>
      <c r="V61" s="359">
        <f t="shared" si="74"/>
        <v>8210.2069499999998</v>
      </c>
      <c r="W61" s="125">
        <f>+O61-O7</f>
        <v>0</v>
      </c>
      <c r="X61" s="102">
        <f>+Q61-Q7</f>
        <v>-42.374199999998382</v>
      </c>
      <c r="Y61" s="114">
        <f>+S61-T7-R7</f>
        <v>-6111.6534024919983</v>
      </c>
      <c r="AE61" s="105"/>
      <c r="AF61"/>
      <c r="AG61" s="101"/>
    </row>
    <row r="62" spans="1:36" x14ac:dyDescent="0.25">
      <c r="A62" s="511"/>
      <c r="B62" s="517"/>
      <c r="C62" s="289">
        <v>5</v>
      </c>
      <c r="D62" s="517" t="s">
        <v>325</v>
      </c>
      <c r="E62" s="517"/>
      <c r="F62" s="289" t="s">
        <v>160</v>
      </c>
      <c r="G62" s="289">
        <v>400</v>
      </c>
      <c r="H62" s="288">
        <f>+G62*H$3</f>
        <v>8800</v>
      </c>
      <c r="I62" s="288">
        <v>29046</v>
      </c>
      <c r="J62" s="289">
        <v>3000</v>
      </c>
      <c r="K62" s="289">
        <f>1050000/300</f>
        <v>3500</v>
      </c>
      <c r="L62" s="531"/>
      <c r="M62" s="513"/>
      <c r="N62" s="288">
        <f>+M$4/H62</f>
        <v>5000</v>
      </c>
      <c r="O62" s="142">
        <f>+N62+K62+J62+I62</f>
        <v>40546</v>
      </c>
      <c r="P62" s="107">
        <v>0.46350000000000002</v>
      </c>
      <c r="Q62" s="143">
        <f>+O62*P62</f>
        <v>18793.071</v>
      </c>
      <c r="R62" s="357">
        <f>+Q62+O62</f>
        <v>59339.070999999996</v>
      </c>
      <c r="S62" s="357">
        <f t="shared" si="72"/>
        <v>65272.978099999993</v>
      </c>
      <c r="T62" s="356">
        <f t="shared" si="73"/>
        <v>81591.222624999995</v>
      </c>
      <c r="U62" s="359">
        <f>+V62/11</f>
        <v>1483.4767750000001</v>
      </c>
      <c r="V62" s="359">
        <f t="shared" si="74"/>
        <v>16318.244525</v>
      </c>
      <c r="W62" s="125">
        <f>+O62-O8</f>
        <v>0</v>
      </c>
      <c r="X62" s="102">
        <f>+Q62-Q8</f>
        <v>-71.360960000001796</v>
      </c>
      <c r="Y62" s="114">
        <f>+S62-T8-R8</f>
        <v>-12130.49728340561</v>
      </c>
      <c r="AE62" s="105"/>
      <c r="AF62"/>
      <c r="AG62" s="101"/>
    </row>
    <row r="63" spans="1:36" x14ac:dyDescent="0.25">
      <c r="A63" s="182" t="s">
        <v>166</v>
      </c>
      <c r="B63" s="148"/>
      <c r="C63" s="148"/>
      <c r="D63" s="148"/>
      <c r="E63" s="148"/>
      <c r="F63" s="148"/>
      <c r="G63" s="148"/>
      <c r="H63" s="148"/>
      <c r="I63" s="149"/>
      <c r="J63" s="148">
        <f>4*40*2.3/0.9</f>
        <v>408.88888888888886</v>
      </c>
      <c r="K63" s="148">
        <f>500000/350</f>
        <v>1428.5714285714287</v>
      </c>
      <c r="L63" s="531"/>
      <c r="M63" s="180">
        <v>0.1</v>
      </c>
      <c r="N63" s="150"/>
      <c r="O63" s="150"/>
      <c r="P63" s="150"/>
      <c r="Q63" s="150"/>
      <c r="R63" s="150"/>
      <c r="S63" s="360">
        <f t="shared" si="72"/>
        <v>0</v>
      </c>
      <c r="T63" s="361">
        <f t="shared" si="73"/>
        <v>0</v>
      </c>
      <c r="U63" s="362">
        <f t="shared" ref="U63:U68" si="75">+V63/11</f>
        <v>0</v>
      </c>
      <c r="V63" s="362">
        <f t="shared" si="74"/>
        <v>0</v>
      </c>
      <c r="W63" s="101"/>
      <c r="X63" s="102"/>
      <c r="Y63" s="101"/>
      <c r="AE63" s="105"/>
      <c r="AF63"/>
      <c r="AG63" s="101"/>
    </row>
    <row r="64" spans="1:36" ht="15.75" customHeight="1" x14ac:dyDescent="0.25">
      <c r="A64" s="515" t="s">
        <v>149</v>
      </c>
      <c r="B64" s="506">
        <v>20</v>
      </c>
      <c r="C64" s="290">
        <v>1</v>
      </c>
      <c r="D64" s="506" t="s">
        <v>150</v>
      </c>
      <c r="E64" s="290" t="s">
        <v>153</v>
      </c>
      <c r="F64" s="290" t="s">
        <v>159</v>
      </c>
      <c r="G64" s="290">
        <v>400</v>
      </c>
      <c r="H64" s="290">
        <f>+G64*H$3</f>
        <v>8800</v>
      </c>
      <c r="I64" s="291">
        <v>8441</v>
      </c>
      <c r="J64" s="290">
        <v>620</v>
      </c>
      <c r="K64" s="290">
        <v>1500</v>
      </c>
      <c r="L64" s="531"/>
      <c r="M64" s="507">
        <f>+L58*M63</f>
        <v>8000000</v>
      </c>
      <c r="N64" s="291">
        <f>+M$64/H64</f>
        <v>909.09090909090912</v>
      </c>
      <c r="O64" s="154">
        <f>+N64+K64+J64+I64</f>
        <v>11470.090909090908</v>
      </c>
      <c r="P64" s="108">
        <v>0.44</v>
      </c>
      <c r="Q64" s="155">
        <f>+O64*P64</f>
        <v>5046.8399999999992</v>
      </c>
      <c r="R64" s="363">
        <f>+O64+Q64</f>
        <v>16516.930909090908</v>
      </c>
      <c r="S64" s="363">
        <f t="shared" si="72"/>
        <v>18168.624</v>
      </c>
      <c r="T64" s="356">
        <f t="shared" si="73"/>
        <v>22710.78</v>
      </c>
      <c r="U64" s="359">
        <f t="shared" si="75"/>
        <v>412.92327272727272</v>
      </c>
      <c r="V64" s="359">
        <f t="shared" si="74"/>
        <v>4542.1559999999999</v>
      </c>
      <c r="W64" s="101"/>
      <c r="X64" s="102"/>
      <c r="Y64" s="101"/>
      <c r="AE64" s="105"/>
      <c r="AF64"/>
      <c r="AG64" s="101"/>
    </row>
    <row r="65" spans="1:33" x14ac:dyDescent="0.25">
      <c r="A65" s="515"/>
      <c r="B65" s="506"/>
      <c r="C65" s="290">
        <v>2</v>
      </c>
      <c r="D65" s="506"/>
      <c r="E65" s="290" t="s">
        <v>154</v>
      </c>
      <c r="F65" s="290" t="s">
        <v>159</v>
      </c>
      <c r="G65" s="290">
        <v>400</v>
      </c>
      <c r="H65" s="290">
        <f>+G65*H$3</f>
        <v>8800</v>
      </c>
      <c r="I65" s="291">
        <v>6840</v>
      </c>
      <c r="J65" s="290">
        <v>620</v>
      </c>
      <c r="K65" s="290">
        <v>1500</v>
      </c>
      <c r="L65" s="531"/>
      <c r="M65" s="507"/>
      <c r="N65" s="293">
        <f>+M$64/H65</f>
        <v>909.09090909090912</v>
      </c>
      <c r="O65" s="154">
        <f>+N65+K65+J65+I65</f>
        <v>9869.0909090909081</v>
      </c>
      <c r="P65" s="108">
        <v>0.48</v>
      </c>
      <c r="Q65" s="155">
        <f>+O65*P65</f>
        <v>4737.1636363636353</v>
      </c>
      <c r="R65" s="363">
        <f>+O65+Q65</f>
        <v>14606.254545454543</v>
      </c>
      <c r="S65" s="363">
        <f t="shared" si="72"/>
        <v>16066.879999999997</v>
      </c>
      <c r="T65" s="356">
        <f t="shared" si="73"/>
        <v>20083.599999999999</v>
      </c>
      <c r="U65" s="359">
        <f t="shared" si="75"/>
        <v>365.15636363636361</v>
      </c>
      <c r="V65" s="359">
        <f t="shared" si="74"/>
        <v>4016.72</v>
      </c>
      <c r="W65" s="101"/>
      <c r="X65" s="102"/>
      <c r="Y65" s="101"/>
      <c r="AE65" s="105"/>
      <c r="AF65"/>
      <c r="AG65" s="101"/>
    </row>
    <row r="66" spans="1:33" x14ac:dyDescent="0.25">
      <c r="A66" s="515"/>
      <c r="B66" s="506"/>
      <c r="C66" s="290">
        <v>3</v>
      </c>
      <c r="D66" s="506"/>
      <c r="E66" s="290" t="s">
        <v>155</v>
      </c>
      <c r="F66" s="290" t="s">
        <v>159</v>
      </c>
      <c r="G66" s="290">
        <v>350</v>
      </c>
      <c r="H66" s="290">
        <f>+G66*H$3</f>
        <v>7700</v>
      </c>
      <c r="I66" s="291">
        <v>3771.33</v>
      </c>
      <c r="J66" s="290">
        <v>620</v>
      </c>
      <c r="K66" s="290">
        <v>2000</v>
      </c>
      <c r="L66" s="531"/>
      <c r="M66" s="507"/>
      <c r="N66" s="293">
        <f>+M$64/H66</f>
        <v>1038.9610389610389</v>
      </c>
      <c r="O66" s="154">
        <f>+N66+K66+J66+I66</f>
        <v>7430.2910389610388</v>
      </c>
      <c r="P66" s="108">
        <v>0.48</v>
      </c>
      <c r="Q66" s="155">
        <f>+O66*P66</f>
        <v>3566.5396987012987</v>
      </c>
      <c r="R66" s="363">
        <f>+O66+Q66</f>
        <v>10996.830737662338</v>
      </c>
      <c r="S66" s="363">
        <f t="shared" si="72"/>
        <v>12096.513811428571</v>
      </c>
      <c r="T66" s="356">
        <f t="shared" si="73"/>
        <v>15120.642264285714</v>
      </c>
      <c r="U66" s="359">
        <f t="shared" si="75"/>
        <v>274.92076844155849</v>
      </c>
      <c r="V66" s="359">
        <f t="shared" si="74"/>
        <v>3024.1284528571432</v>
      </c>
      <c r="W66" s="101"/>
      <c r="X66" s="102"/>
      <c r="Y66" s="101"/>
      <c r="AE66" s="105"/>
      <c r="AF66"/>
      <c r="AG66" s="101"/>
    </row>
    <row r="67" spans="1:33" x14ac:dyDescent="0.25">
      <c r="A67" s="516"/>
      <c r="B67" s="506"/>
      <c r="C67" s="290">
        <v>4</v>
      </c>
      <c r="D67" s="506" t="s">
        <v>326</v>
      </c>
      <c r="E67" s="506"/>
      <c r="F67" s="290" t="s">
        <v>133</v>
      </c>
      <c r="G67" s="290">
        <v>300</v>
      </c>
      <c r="H67" s="290">
        <f>+G67*H$3</f>
        <v>6600</v>
      </c>
      <c r="I67" s="291">
        <v>10945.43</v>
      </c>
      <c r="J67" s="290">
        <v>2062</v>
      </c>
      <c r="K67" s="290">
        <v>3000</v>
      </c>
      <c r="L67" s="531"/>
      <c r="M67" s="507"/>
      <c r="N67" s="293">
        <f>+M$64/H67</f>
        <v>1212.121212121212</v>
      </c>
      <c r="O67" s="154">
        <f>+N67+K67+J67+I67</f>
        <v>17219.551212121212</v>
      </c>
      <c r="P67" s="108">
        <v>0.3</v>
      </c>
      <c r="Q67" s="155">
        <f>+O67*P67</f>
        <v>5165.8653636363633</v>
      </c>
      <c r="R67" s="363">
        <f>+O67+Q67</f>
        <v>22385.416575757576</v>
      </c>
      <c r="S67" s="363">
        <f t="shared" si="72"/>
        <v>24623.958233333335</v>
      </c>
      <c r="T67" s="356">
        <f t="shared" si="73"/>
        <v>30779.947791666669</v>
      </c>
      <c r="U67" s="359">
        <f t="shared" si="75"/>
        <v>559.63541439393953</v>
      </c>
      <c r="V67" s="359">
        <f t="shared" si="74"/>
        <v>6155.9895583333346</v>
      </c>
      <c r="W67" s="101"/>
      <c r="X67" s="102"/>
      <c r="Y67" s="101"/>
      <c r="AE67" s="105"/>
      <c r="AF67"/>
      <c r="AG67" s="101"/>
    </row>
    <row r="68" spans="1:33" x14ac:dyDescent="0.25">
      <c r="A68" s="516"/>
      <c r="B68" s="506"/>
      <c r="C68" s="290">
        <v>5</v>
      </c>
      <c r="D68" s="506" t="s">
        <v>327</v>
      </c>
      <c r="E68" s="506"/>
      <c r="F68" s="290" t="s">
        <v>159</v>
      </c>
      <c r="G68" s="290">
        <v>400</v>
      </c>
      <c r="H68" s="290">
        <f>+G68*H$3</f>
        <v>8800</v>
      </c>
      <c r="I68" s="291">
        <v>9008</v>
      </c>
      <c r="J68" s="290">
        <v>620</v>
      </c>
      <c r="K68" s="290">
        <v>1000</v>
      </c>
      <c r="L68" s="531"/>
      <c r="M68" s="507"/>
      <c r="N68" s="293">
        <f>+M$64/H68</f>
        <v>909.09090909090912</v>
      </c>
      <c r="O68" s="154">
        <f>+N68+K68+J68+I68</f>
        <v>11537.090909090908</v>
      </c>
      <c r="P68" s="108">
        <v>0.2</v>
      </c>
      <c r="Q68" s="155">
        <f>+O68*P68</f>
        <v>2307.4181818181819</v>
      </c>
      <c r="R68" s="363">
        <f>+O68+Q68</f>
        <v>13844.50909090909</v>
      </c>
      <c r="S68" s="363">
        <f t="shared" si="72"/>
        <v>15228.96</v>
      </c>
      <c r="T68" s="356">
        <f t="shared" si="73"/>
        <v>19036.199999999997</v>
      </c>
      <c r="U68" s="359">
        <f t="shared" si="75"/>
        <v>346.11272727272723</v>
      </c>
      <c r="V68" s="359">
        <f t="shared" si="74"/>
        <v>3807.24</v>
      </c>
      <c r="W68" s="101"/>
      <c r="X68" s="102"/>
      <c r="Y68" s="101"/>
      <c r="AE68" s="105"/>
      <c r="AF68"/>
      <c r="AG68" s="101"/>
    </row>
    <row r="70" spans="1:33" x14ac:dyDescent="0.25">
      <c r="A70" s="504" t="s">
        <v>528</v>
      </c>
      <c r="B70" s="504"/>
      <c r="C70" s="504"/>
      <c r="D70" s="504"/>
      <c r="E70" s="504"/>
      <c r="F70" s="504"/>
      <c r="G70" s="504"/>
      <c r="H70" s="504"/>
      <c r="I70" s="504"/>
      <c r="J70" s="504"/>
      <c r="K70" s="504"/>
      <c r="L70" s="504"/>
      <c r="M70" s="504"/>
      <c r="N70" s="504"/>
      <c r="O70" s="504"/>
      <c r="P70" s="504"/>
      <c r="Q70" s="504"/>
      <c r="R70" s="504"/>
      <c r="S70" s="504"/>
      <c r="T70" s="504"/>
      <c r="U70" s="505"/>
      <c r="V70"/>
      <c r="W70" s="101"/>
      <c r="Y70" s="101"/>
      <c r="AF70" s="101"/>
      <c r="AG70" s="101"/>
    </row>
    <row r="71" spans="1:33" ht="63" x14ac:dyDescent="0.25">
      <c r="A71" s="370" t="s">
        <v>163</v>
      </c>
      <c r="B71" s="370" t="s">
        <v>164</v>
      </c>
      <c r="C71" s="119"/>
      <c r="D71" s="510" t="s">
        <v>157</v>
      </c>
      <c r="E71" s="510"/>
      <c r="F71" s="370" t="s">
        <v>165</v>
      </c>
      <c r="G71" s="370" t="s">
        <v>320</v>
      </c>
      <c r="H71" s="370" t="s">
        <v>368</v>
      </c>
      <c r="I71" s="120" t="s">
        <v>171</v>
      </c>
      <c r="J71" s="370" t="s">
        <v>170</v>
      </c>
      <c r="K71" s="370" t="s">
        <v>6</v>
      </c>
      <c r="L71" s="370" t="s">
        <v>385</v>
      </c>
      <c r="M71" s="370" t="s">
        <v>386</v>
      </c>
      <c r="N71" s="370" t="s">
        <v>387</v>
      </c>
      <c r="O71" s="370" t="s">
        <v>330</v>
      </c>
      <c r="P71" s="370" t="s">
        <v>389</v>
      </c>
      <c r="Q71" s="370" t="s">
        <v>390</v>
      </c>
      <c r="R71" s="370" t="s">
        <v>384</v>
      </c>
      <c r="S71" s="370" t="s">
        <v>311</v>
      </c>
      <c r="T71" s="370" t="s">
        <v>158</v>
      </c>
      <c r="U71" s="370" t="s">
        <v>529</v>
      </c>
      <c r="V71"/>
      <c r="W71" s="101"/>
      <c r="Y71" s="101"/>
      <c r="AF71" s="101"/>
      <c r="AG71" s="101"/>
    </row>
    <row r="72" spans="1:33" ht="15.75" customHeight="1" x14ac:dyDescent="0.25">
      <c r="A72" s="126"/>
      <c r="B72" s="127"/>
      <c r="C72" s="127"/>
      <c r="D72" s="127"/>
      <c r="E72" s="127"/>
      <c r="F72" s="127"/>
      <c r="G72" s="127"/>
      <c r="H72" s="121">
        <v>22</v>
      </c>
      <c r="I72" s="128"/>
      <c r="J72" s="127"/>
      <c r="K72" s="127"/>
      <c r="L72" s="129"/>
      <c r="M72" s="106">
        <v>0.55000000000000004</v>
      </c>
      <c r="N72" s="130"/>
      <c r="O72" s="130"/>
      <c r="P72" s="130"/>
      <c r="Q72" s="131"/>
      <c r="R72" s="185">
        <v>0.08</v>
      </c>
      <c r="S72" s="185">
        <v>0.1</v>
      </c>
      <c r="T72" s="188"/>
      <c r="U72" s="189">
        <v>0.2</v>
      </c>
      <c r="V72"/>
      <c r="W72" s="101"/>
      <c r="Y72" s="101"/>
      <c r="AF72" s="101"/>
      <c r="AG72" s="101"/>
    </row>
    <row r="73" spans="1:33" x14ac:dyDescent="0.25">
      <c r="A73" s="511" t="s">
        <v>148</v>
      </c>
      <c r="B73" s="517">
        <v>40</v>
      </c>
      <c r="C73" s="371">
        <v>1</v>
      </c>
      <c r="D73" s="517" t="s">
        <v>321</v>
      </c>
      <c r="E73" s="517"/>
      <c r="F73" s="371" t="s">
        <v>161</v>
      </c>
      <c r="G73" s="371">
        <v>480</v>
      </c>
      <c r="H73" s="375">
        <f t="shared" ref="H73:H79" si="76">+G73*H$3</f>
        <v>10560</v>
      </c>
      <c r="I73" s="375">
        <v>7052</v>
      </c>
      <c r="J73" s="371">
        <v>1250</v>
      </c>
      <c r="K73" s="371">
        <v>2500</v>
      </c>
      <c r="L73" s="525">
        <v>80000000</v>
      </c>
      <c r="M73" s="512">
        <f>+L73*M72</f>
        <v>44000000</v>
      </c>
      <c r="N73" s="375">
        <f t="shared" ref="N73:N79" si="77">+M$4/H73</f>
        <v>4166.666666666667</v>
      </c>
      <c r="O73" s="142">
        <f>+N73+K73+J73+I73</f>
        <v>14968.666666666668</v>
      </c>
      <c r="P73" s="107">
        <v>0.23083049999999999</v>
      </c>
      <c r="Q73" s="143">
        <f>+O73*P73</f>
        <v>3455.224811</v>
      </c>
      <c r="R73" s="143">
        <f t="shared" ref="R73:R79" si="78">+(O73+Q73)*0.0966</f>
        <v>1779.7479167426002</v>
      </c>
      <c r="S73" s="355">
        <f t="shared" ref="S73:S79" si="79">+(O73+Q73+R73)*0.1</f>
        <v>2020.3639394409267</v>
      </c>
      <c r="T73" s="357">
        <f t="shared" ref="T73:T79" si="80">+Q73+O73+S73+R73</f>
        <v>22224.003333850193</v>
      </c>
      <c r="U73" s="381">
        <f t="shared" ref="U73:U79" si="81">+T73*100/80</f>
        <v>27780.004167312738</v>
      </c>
      <c r="V73" s="16">
        <v>27780</v>
      </c>
      <c r="W73" s="105">
        <v>21112.799999999999</v>
      </c>
      <c r="X73" s="114">
        <f>+T73-W73</f>
        <v>1111.2033338501933</v>
      </c>
      <c r="Y73" s="101"/>
      <c r="AF73" s="101"/>
      <c r="AG73" s="101"/>
    </row>
    <row r="74" spans="1:33" x14ac:dyDescent="0.25">
      <c r="A74" s="511"/>
      <c r="B74" s="517"/>
      <c r="C74" s="371">
        <v>2</v>
      </c>
      <c r="D74" s="517" t="s">
        <v>322</v>
      </c>
      <c r="E74" s="517"/>
      <c r="F74" s="371" t="s">
        <v>132</v>
      </c>
      <c r="G74" s="371">
        <v>600</v>
      </c>
      <c r="H74" s="375">
        <f t="shared" si="76"/>
        <v>13200</v>
      </c>
      <c r="I74" s="375">
        <v>10463</v>
      </c>
      <c r="J74" s="371">
        <f>1615+580</f>
        <v>2195</v>
      </c>
      <c r="K74" s="371">
        <v>2080</v>
      </c>
      <c r="L74" s="526"/>
      <c r="M74" s="513"/>
      <c r="N74" s="375">
        <f t="shared" si="77"/>
        <v>3333.3333333333335</v>
      </c>
      <c r="O74" s="142">
        <f t="shared" ref="O74:O79" si="82">+N74+K74+J74+I74</f>
        <v>18071.333333333336</v>
      </c>
      <c r="P74" s="107">
        <v>0.37185259999999998</v>
      </c>
      <c r="Q74" s="143">
        <f t="shared" ref="Q74:Q79" si="83">+O74*P74</f>
        <v>6719.8722854666676</v>
      </c>
      <c r="R74" s="143">
        <f t="shared" si="78"/>
        <v>2394.8304627760804</v>
      </c>
      <c r="S74" s="355">
        <f t="shared" si="79"/>
        <v>2718.6036081576085</v>
      </c>
      <c r="T74" s="357">
        <f t="shared" si="80"/>
        <v>29904.639689733693</v>
      </c>
      <c r="U74" s="381">
        <f t="shared" si="81"/>
        <v>37380.799612167117</v>
      </c>
      <c r="V74" s="16">
        <v>37380.800472643168</v>
      </c>
      <c r="W74" s="105">
        <v>28408.799999999999</v>
      </c>
      <c r="X74" s="114">
        <f t="shared" ref="X74:X88" si="84">+T74-W74</f>
        <v>1495.8396897336934</v>
      </c>
      <c r="Y74" s="101"/>
      <c r="AF74" s="101"/>
      <c r="AG74" s="101"/>
    </row>
    <row r="75" spans="1:33" x14ac:dyDescent="0.25">
      <c r="A75" s="511"/>
      <c r="B75" s="517"/>
      <c r="C75" s="371">
        <v>3</v>
      </c>
      <c r="D75" s="517" t="s">
        <v>323</v>
      </c>
      <c r="E75" s="517"/>
      <c r="F75" s="371" t="s">
        <v>405</v>
      </c>
      <c r="G75" s="371">
        <v>600</v>
      </c>
      <c r="H75" s="375">
        <f t="shared" si="76"/>
        <v>13200</v>
      </c>
      <c r="I75" s="375">
        <v>10143</v>
      </c>
      <c r="J75" s="371">
        <f>1365+580</f>
        <v>1945</v>
      </c>
      <c r="K75" s="371">
        <v>2080</v>
      </c>
      <c r="L75" s="526"/>
      <c r="M75" s="513"/>
      <c r="N75" s="375">
        <f t="shared" si="77"/>
        <v>3333.3333333333335</v>
      </c>
      <c r="O75" s="142">
        <f t="shared" si="82"/>
        <v>17501.333333333336</v>
      </c>
      <c r="P75" s="107">
        <v>0.37102859999999999</v>
      </c>
      <c r="Q75" s="143">
        <f t="shared" si="83"/>
        <v>6493.4952048000005</v>
      </c>
      <c r="R75" s="143">
        <f t="shared" si="78"/>
        <v>2317.9004367836806</v>
      </c>
      <c r="S75" s="355">
        <f t="shared" si="79"/>
        <v>2631.2728974917018</v>
      </c>
      <c r="T75" s="357">
        <f t="shared" si="80"/>
        <v>28944.00187240872</v>
      </c>
      <c r="U75" s="381">
        <f t="shared" si="81"/>
        <v>36180.002340510902</v>
      </c>
      <c r="V75" s="16">
        <v>36179.99761827811</v>
      </c>
      <c r="W75" s="105">
        <v>27496.799999999999</v>
      </c>
      <c r="X75" s="114">
        <f t="shared" si="84"/>
        <v>1447.2018724087211</v>
      </c>
      <c r="Y75" s="101"/>
      <c r="AF75" s="101"/>
      <c r="AG75" s="101"/>
    </row>
    <row r="76" spans="1:33" x14ac:dyDescent="0.25">
      <c r="A76" s="511"/>
      <c r="B76" s="517"/>
      <c r="C76" s="371">
        <v>4</v>
      </c>
      <c r="D76" s="517" t="s">
        <v>488</v>
      </c>
      <c r="E76" s="517"/>
      <c r="F76" s="371" t="s">
        <v>160</v>
      </c>
      <c r="G76" s="371">
        <v>400</v>
      </c>
      <c r="H76" s="375">
        <f t="shared" si="76"/>
        <v>8800</v>
      </c>
      <c r="I76" s="375">
        <v>10070</v>
      </c>
      <c r="J76" s="371">
        <v>3000</v>
      </c>
      <c r="K76" s="371">
        <v>2500</v>
      </c>
      <c r="L76" s="526"/>
      <c r="M76" s="513"/>
      <c r="N76" s="375">
        <f t="shared" si="77"/>
        <v>5000</v>
      </c>
      <c r="O76" s="142">
        <f t="shared" si="82"/>
        <v>20570</v>
      </c>
      <c r="P76" s="107">
        <v>0.45344509999999999</v>
      </c>
      <c r="Q76" s="143">
        <f t="shared" si="83"/>
        <v>9327.365706999999</v>
      </c>
      <c r="R76" s="143">
        <f t="shared" si="78"/>
        <v>2888.0855272961999</v>
      </c>
      <c r="S76" s="355">
        <f t="shared" si="79"/>
        <v>3278.5451234296197</v>
      </c>
      <c r="T76" s="357">
        <f t="shared" si="80"/>
        <v>36063.996357725817</v>
      </c>
      <c r="U76" s="381">
        <f t="shared" si="81"/>
        <v>45079.995447157271</v>
      </c>
      <c r="V76" s="16">
        <v>45080</v>
      </c>
      <c r="W76" s="105">
        <v>36064</v>
      </c>
      <c r="X76" s="114">
        <f t="shared" si="84"/>
        <v>-3.6422741832211614E-3</v>
      </c>
      <c r="Y76" s="101"/>
      <c r="AF76" s="101"/>
      <c r="AG76" s="101"/>
    </row>
    <row r="77" spans="1:33" x14ac:dyDescent="0.25">
      <c r="A77" s="511"/>
      <c r="B77" s="517"/>
      <c r="C77" s="371">
        <v>5</v>
      </c>
      <c r="D77" s="517" t="s">
        <v>325</v>
      </c>
      <c r="E77" s="517"/>
      <c r="F77" s="371" t="s">
        <v>160</v>
      </c>
      <c r="G77" s="371">
        <v>400</v>
      </c>
      <c r="H77" s="375">
        <f t="shared" si="76"/>
        <v>8800</v>
      </c>
      <c r="I77" s="375">
        <v>29046</v>
      </c>
      <c r="J77" s="371">
        <v>3000</v>
      </c>
      <c r="K77" s="371">
        <f>1050000/300</f>
        <v>3500</v>
      </c>
      <c r="L77" s="526"/>
      <c r="M77" s="513"/>
      <c r="N77" s="375">
        <f t="shared" si="77"/>
        <v>5000</v>
      </c>
      <c r="O77" s="142">
        <f t="shared" si="82"/>
        <v>40546</v>
      </c>
      <c r="P77" s="107">
        <v>0.46525119999999998</v>
      </c>
      <c r="Q77" s="143">
        <f t="shared" si="83"/>
        <v>18864.0751552</v>
      </c>
      <c r="R77" s="143">
        <f t="shared" si="78"/>
        <v>5739.0132599923199</v>
      </c>
      <c r="S77" s="355">
        <f t="shared" si="79"/>
        <v>6514.9088415192327</v>
      </c>
      <c r="T77" s="357">
        <f t="shared" si="80"/>
        <v>71663.997256711562</v>
      </c>
      <c r="U77" s="381">
        <f t="shared" si="81"/>
        <v>89579.99657088946</v>
      </c>
      <c r="V77" s="16">
        <v>89580</v>
      </c>
      <c r="W77" s="105">
        <v>71664</v>
      </c>
      <c r="X77" s="114">
        <f t="shared" si="84"/>
        <v>-2.7432884380687028E-3</v>
      </c>
      <c r="Y77" s="101"/>
      <c r="AF77" s="101"/>
      <c r="AG77" s="101"/>
    </row>
    <row r="78" spans="1:33" ht="15.75" customHeight="1" x14ac:dyDescent="0.25">
      <c r="A78" s="511"/>
      <c r="B78" s="517"/>
      <c r="C78" s="371">
        <v>6</v>
      </c>
      <c r="D78" s="517" t="s">
        <v>325</v>
      </c>
      <c r="E78" s="517"/>
      <c r="F78" s="371" t="s">
        <v>378</v>
      </c>
      <c r="G78" s="371">
        <v>1000</v>
      </c>
      <c r="H78" s="375">
        <f t="shared" si="76"/>
        <v>22000</v>
      </c>
      <c r="I78" s="375">
        <v>10196</v>
      </c>
      <c r="J78" s="371">
        <v>2350</v>
      </c>
      <c r="K78" s="371">
        <v>1250</v>
      </c>
      <c r="L78" s="526"/>
      <c r="M78" s="513"/>
      <c r="N78" s="375">
        <f t="shared" si="77"/>
        <v>2000</v>
      </c>
      <c r="O78" s="142">
        <f t="shared" si="82"/>
        <v>15796</v>
      </c>
      <c r="P78" s="107">
        <v>0.51</v>
      </c>
      <c r="Q78" s="143">
        <f t="shared" si="83"/>
        <v>8055.96</v>
      </c>
      <c r="R78" s="143">
        <f t="shared" si="78"/>
        <v>2304.0993360000002</v>
      </c>
      <c r="S78" s="355">
        <f t="shared" si="79"/>
        <v>2615.6059335999998</v>
      </c>
      <c r="T78" s="357">
        <f t="shared" si="80"/>
        <v>28771.665269599998</v>
      </c>
      <c r="U78" s="381">
        <f t="shared" si="81"/>
        <v>35964.581587000001</v>
      </c>
      <c r="V78" s="16">
        <v>35964.581587000001</v>
      </c>
      <c r="W78" s="105"/>
      <c r="X78" s="114"/>
      <c r="Y78" s="101"/>
      <c r="AF78" s="101"/>
      <c r="AG78" s="101"/>
    </row>
    <row r="79" spans="1:33" x14ac:dyDescent="0.25">
      <c r="A79" s="282"/>
      <c r="B79" s="283"/>
      <c r="C79" s="371">
        <v>7</v>
      </c>
      <c r="D79" s="517" t="s">
        <v>488</v>
      </c>
      <c r="E79" s="517"/>
      <c r="F79" s="371" t="s">
        <v>378</v>
      </c>
      <c r="G79" s="371">
        <v>1000</v>
      </c>
      <c r="H79" s="375">
        <f t="shared" si="76"/>
        <v>22000</v>
      </c>
      <c r="I79" s="375">
        <v>5034.8739999999998</v>
      </c>
      <c r="J79" s="371">
        <v>2350</v>
      </c>
      <c r="K79" s="371">
        <v>1250</v>
      </c>
      <c r="L79" s="526"/>
      <c r="M79" s="514"/>
      <c r="N79" s="375">
        <f t="shared" si="77"/>
        <v>2000</v>
      </c>
      <c r="O79" s="142">
        <f t="shared" si="82"/>
        <v>10634.874</v>
      </c>
      <c r="P79" s="107">
        <v>0.40200000000000002</v>
      </c>
      <c r="Q79" s="143">
        <f t="shared" si="83"/>
        <v>4275.2193480000005</v>
      </c>
      <c r="R79" s="143">
        <f t="shared" si="78"/>
        <v>1440.3150174168002</v>
      </c>
      <c r="S79" s="355">
        <f t="shared" si="79"/>
        <v>1635.0408365416802</v>
      </c>
      <c r="T79" s="357">
        <f t="shared" si="80"/>
        <v>17985.44920195848</v>
      </c>
      <c r="U79" s="381">
        <f t="shared" si="81"/>
        <v>22481.811502448101</v>
      </c>
      <c r="V79" s="16">
        <v>22481.811502448101</v>
      </c>
      <c r="W79" s="105"/>
      <c r="X79" s="114"/>
      <c r="Y79" s="101"/>
      <c r="AF79" s="101"/>
      <c r="AG79" s="101"/>
    </row>
    <row r="80" spans="1:33" x14ac:dyDescent="0.25">
      <c r="A80" s="182" t="s">
        <v>166</v>
      </c>
      <c r="B80" s="148"/>
      <c r="C80" s="148"/>
      <c r="D80" s="148"/>
      <c r="E80" s="148"/>
      <c r="F80" s="148"/>
      <c r="G80" s="148"/>
      <c r="H80" s="148"/>
      <c r="I80" s="149"/>
      <c r="J80" s="148">
        <f>4*40*2.3/0.9</f>
        <v>408.88888888888886</v>
      </c>
      <c r="K80" s="148">
        <f>500000/350</f>
        <v>1428.5714285714287</v>
      </c>
      <c r="L80" s="526"/>
      <c r="M80" s="180">
        <v>0.1</v>
      </c>
      <c r="N80" s="150"/>
      <c r="O80" s="150"/>
      <c r="P80" s="150"/>
      <c r="Q80" s="150"/>
      <c r="R80" s="150"/>
      <c r="S80" s="150"/>
      <c r="T80" s="379"/>
      <c r="U80" s="379"/>
      <c r="V80" s="16"/>
      <c r="W80" s="105"/>
      <c r="X80" s="114">
        <f t="shared" si="84"/>
        <v>0</v>
      </c>
      <c r="Y80" s="101"/>
      <c r="AF80" s="101"/>
      <c r="AG80" s="101"/>
    </row>
    <row r="81" spans="1:33" x14ac:dyDescent="0.25">
      <c r="A81" s="515" t="s">
        <v>149</v>
      </c>
      <c r="B81" s="506">
        <v>20</v>
      </c>
      <c r="C81" s="374">
        <v>1</v>
      </c>
      <c r="D81" s="506" t="s">
        <v>150</v>
      </c>
      <c r="E81" s="374" t="s">
        <v>153</v>
      </c>
      <c r="F81" s="374" t="s">
        <v>159</v>
      </c>
      <c r="G81" s="374">
        <v>400</v>
      </c>
      <c r="H81" s="374">
        <f>+G81*H$3</f>
        <v>8800</v>
      </c>
      <c r="I81" s="373">
        <v>8441</v>
      </c>
      <c r="J81" s="374">
        <v>620</v>
      </c>
      <c r="K81" s="374">
        <v>1500</v>
      </c>
      <c r="L81" s="526"/>
      <c r="M81" s="507">
        <f>+L73*M80</f>
        <v>8000000</v>
      </c>
      <c r="N81" s="373">
        <f t="shared" ref="N81:N90" si="85">+M$12/H81</f>
        <v>909.09090909090912</v>
      </c>
      <c r="O81" s="154">
        <f>+N81+K81+J81+I81</f>
        <v>11470.090909090908</v>
      </c>
      <c r="P81" s="108">
        <v>0.51952399999999999</v>
      </c>
      <c r="Q81" s="155">
        <f>+O81*P81</f>
        <v>5958.987509454545</v>
      </c>
      <c r="R81" s="155">
        <f t="shared" ref="R81:R90" si="86">+(O81+Q81)*0.0966</f>
        <v>1683.648975231491</v>
      </c>
      <c r="S81" s="366">
        <f>+(+O81+Q81+R81)*0.1</f>
        <v>1911.2727393776947</v>
      </c>
      <c r="T81" s="363">
        <f t="shared" ref="T81:T90" si="87">+O81+Q81+S81+R81</f>
        <v>21024.000133154641</v>
      </c>
      <c r="U81" s="382">
        <f>+T81*100/80</f>
        <v>26280.0001664433</v>
      </c>
      <c r="V81" s="16">
        <v>26280.003807472734</v>
      </c>
      <c r="W81" s="105">
        <v>19972.8</v>
      </c>
      <c r="X81" s="114">
        <f t="shared" si="84"/>
        <v>1051.2001331546417</v>
      </c>
      <c r="Y81" s="101"/>
      <c r="AF81" s="101"/>
      <c r="AG81" s="101"/>
    </row>
    <row r="82" spans="1:33" x14ac:dyDescent="0.25">
      <c r="A82" s="515"/>
      <c r="B82" s="506"/>
      <c r="C82" s="374">
        <v>2</v>
      </c>
      <c r="D82" s="506"/>
      <c r="E82" s="374" t="s">
        <v>154</v>
      </c>
      <c r="F82" s="374" t="s">
        <v>159</v>
      </c>
      <c r="G82" s="374">
        <v>400</v>
      </c>
      <c r="H82" s="374">
        <f t="shared" ref="H82:H90" si="88">+G82*H$3</f>
        <v>8800</v>
      </c>
      <c r="I82" s="373">
        <v>6840</v>
      </c>
      <c r="J82" s="374">
        <v>620</v>
      </c>
      <c r="K82" s="374">
        <v>1500</v>
      </c>
      <c r="L82" s="526"/>
      <c r="M82" s="507"/>
      <c r="N82" s="373">
        <f t="shared" si="85"/>
        <v>909.09090909090912</v>
      </c>
      <c r="O82" s="154">
        <f t="shared" ref="O82:O89" si="89">+N82+K82+J82+I82</f>
        <v>9869.0909090909081</v>
      </c>
      <c r="P82" s="108">
        <v>0.55770560000000002</v>
      </c>
      <c r="Q82" s="155">
        <f t="shared" ref="Q82:Q90" si="90">+O82*P82</f>
        <v>5504.0472669090905</v>
      </c>
      <c r="R82" s="155">
        <f t="shared" si="86"/>
        <v>1485.0451478016</v>
      </c>
      <c r="S82" s="366">
        <f t="shared" ref="S82:S88" si="91">+(+O82+Q82+R82)*0.1</f>
        <v>1685.8183323801597</v>
      </c>
      <c r="T82" s="363">
        <f t="shared" si="87"/>
        <v>18544.001656181757</v>
      </c>
      <c r="U82" s="382">
        <f t="shared" ref="U82:U88" si="92">+T82*100/80</f>
        <v>23180.002070227194</v>
      </c>
      <c r="V82" s="16">
        <v>23179.997057726316</v>
      </c>
      <c r="W82" s="105">
        <v>17616.8</v>
      </c>
      <c r="X82" s="114">
        <f t="shared" si="84"/>
        <v>927.20165618175815</v>
      </c>
      <c r="Y82" s="101"/>
      <c r="AF82" s="101"/>
      <c r="AG82" s="101"/>
    </row>
    <row r="83" spans="1:33" x14ac:dyDescent="0.25">
      <c r="A83" s="515"/>
      <c r="B83" s="506"/>
      <c r="C83" s="374">
        <v>3</v>
      </c>
      <c r="D83" s="506"/>
      <c r="E83" s="374" t="s">
        <v>155</v>
      </c>
      <c r="F83" s="374" t="s">
        <v>159</v>
      </c>
      <c r="G83" s="374">
        <v>350</v>
      </c>
      <c r="H83" s="374">
        <f t="shared" si="88"/>
        <v>7700</v>
      </c>
      <c r="I83" s="373">
        <v>3771.33</v>
      </c>
      <c r="J83" s="374">
        <v>620</v>
      </c>
      <c r="K83" s="374">
        <v>2000</v>
      </c>
      <c r="L83" s="526"/>
      <c r="M83" s="507"/>
      <c r="N83" s="373">
        <f t="shared" si="85"/>
        <v>1038.9610389610389</v>
      </c>
      <c r="O83" s="154">
        <f t="shared" si="89"/>
        <v>7430.2910389610388</v>
      </c>
      <c r="P83" s="108">
        <v>0.56021600000000005</v>
      </c>
      <c r="Q83" s="155">
        <f t="shared" si="90"/>
        <v>4162.5679246825975</v>
      </c>
      <c r="R83" s="155">
        <f t="shared" si="86"/>
        <v>1119.8701758879754</v>
      </c>
      <c r="S83" s="366">
        <f t="shared" si="91"/>
        <v>1271.2729139531614</v>
      </c>
      <c r="T83" s="363">
        <f t="shared" si="87"/>
        <v>13984.002053484775</v>
      </c>
      <c r="U83" s="382">
        <f t="shared" si="92"/>
        <v>17480.002566855968</v>
      </c>
      <c r="V83" s="16">
        <v>17480.000208207843</v>
      </c>
      <c r="W83" s="105">
        <v>13284.8</v>
      </c>
      <c r="X83" s="114">
        <f t="shared" si="84"/>
        <v>699.20205348477612</v>
      </c>
      <c r="Y83" s="101"/>
      <c r="AF83" s="101"/>
      <c r="AG83" s="101"/>
    </row>
    <row r="84" spans="1:33" x14ac:dyDescent="0.25">
      <c r="A84" s="515"/>
      <c r="B84" s="506"/>
      <c r="C84" s="377"/>
      <c r="D84" s="506" t="s">
        <v>150</v>
      </c>
      <c r="E84" s="377" t="s">
        <v>153</v>
      </c>
      <c r="F84" s="377" t="s">
        <v>532</v>
      </c>
      <c r="G84" s="377">
        <v>400</v>
      </c>
      <c r="H84" s="377">
        <f>+G84*H$3</f>
        <v>8800</v>
      </c>
      <c r="I84" s="376">
        <f>+I81*5</f>
        <v>42205</v>
      </c>
      <c r="J84" s="377">
        <v>425</v>
      </c>
      <c r="K84" s="377">
        <f>+K81*5</f>
        <v>7500</v>
      </c>
      <c r="L84" s="526"/>
      <c r="M84" s="507"/>
      <c r="N84" s="376">
        <f t="shared" si="85"/>
        <v>909.09090909090912</v>
      </c>
      <c r="O84" s="154">
        <f>+N84+K84+J84+I84</f>
        <v>51039.090909090912</v>
      </c>
      <c r="P84" s="108">
        <v>0.443548</v>
      </c>
      <c r="Q84" s="155">
        <f>+O84*P84</f>
        <v>22638.286694545455</v>
      </c>
      <c r="R84" s="155">
        <f>+(O84+Q84)*0.0966</f>
        <v>7117.2346765112734</v>
      </c>
      <c r="S84" s="366">
        <f>+(+O84+Q84+R84)*0.1</f>
        <v>8079.4612280147649</v>
      </c>
      <c r="T84" s="363">
        <f t="shared" si="87"/>
        <v>88874.073508162415</v>
      </c>
      <c r="U84" s="382">
        <f>+T84*100/80</f>
        <v>111092.59188520303</v>
      </c>
      <c r="V84" s="16"/>
      <c r="W84" s="105"/>
      <c r="X84" s="114"/>
      <c r="Y84" s="101"/>
      <c r="AF84" s="101"/>
      <c r="AG84" s="101"/>
    </row>
    <row r="85" spans="1:33" x14ac:dyDescent="0.25">
      <c r="A85" s="515"/>
      <c r="B85" s="506"/>
      <c r="C85" s="377"/>
      <c r="D85" s="506"/>
      <c r="E85" s="377" t="s">
        <v>154</v>
      </c>
      <c r="F85" s="377" t="s">
        <v>532</v>
      </c>
      <c r="G85" s="377">
        <v>400</v>
      </c>
      <c r="H85" s="377">
        <f>+G85*H$3</f>
        <v>8800</v>
      </c>
      <c r="I85" s="376">
        <f>+I82*5</f>
        <v>34200</v>
      </c>
      <c r="J85" s="377">
        <v>425</v>
      </c>
      <c r="K85" s="377">
        <f>+K82*5</f>
        <v>7500</v>
      </c>
      <c r="L85" s="526"/>
      <c r="M85" s="507"/>
      <c r="N85" s="376">
        <f t="shared" si="85"/>
        <v>909.09090909090912</v>
      </c>
      <c r="O85" s="154">
        <f>+N85+K85+J85+I85</f>
        <v>43034.090909090912</v>
      </c>
      <c r="P85" s="108">
        <v>0.47982000000000002</v>
      </c>
      <c r="Q85" s="155">
        <f>+O85*P85</f>
        <v>20648.617500000004</v>
      </c>
      <c r="R85" s="155">
        <f>+(O85+Q85)*0.0966</f>
        <v>6151.7496323181831</v>
      </c>
      <c r="S85" s="366">
        <f>+(+O85+Q85+R85)*0.1</f>
        <v>6983.4458041409107</v>
      </c>
      <c r="T85" s="363">
        <f t="shared" si="87"/>
        <v>76817.903845550012</v>
      </c>
      <c r="U85" s="382">
        <f>+T85*100/80</f>
        <v>96022.379806937504</v>
      </c>
      <c r="V85" s="16"/>
      <c r="W85" s="105"/>
      <c r="X85" s="114"/>
      <c r="Y85" s="101"/>
      <c r="AF85" s="101"/>
      <c r="AG85" s="101"/>
    </row>
    <row r="86" spans="1:33" x14ac:dyDescent="0.25">
      <c r="A86" s="515"/>
      <c r="B86" s="506"/>
      <c r="C86" s="377"/>
      <c r="D86" s="506"/>
      <c r="E86" s="377" t="s">
        <v>155</v>
      </c>
      <c r="F86" s="377" t="s">
        <v>532</v>
      </c>
      <c r="G86" s="377">
        <v>350</v>
      </c>
      <c r="H86" s="377">
        <f>+G86*H$3</f>
        <v>7700</v>
      </c>
      <c r="I86" s="376">
        <f>+I83*5</f>
        <v>18856.650000000001</v>
      </c>
      <c r="J86" s="377">
        <v>425</v>
      </c>
      <c r="K86" s="377">
        <f>+K83*5</f>
        <v>10000</v>
      </c>
      <c r="L86" s="526"/>
      <c r="M86" s="507"/>
      <c r="N86" s="376">
        <f t="shared" si="85"/>
        <v>1038.9610389610389</v>
      </c>
      <c r="O86" s="154">
        <f>+N86+K86+J86+I86</f>
        <v>30320.61103896104</v>
      </c>
      <c r="P86" s="108">
        <v>0.48220499999999999</v>
      </c>
      <c r="Q86" s="155">
        <f>+O86*P86</f>
        <v>14620.750246042207</v>
      </c>
      <c r="R86" s="155">
        <f>+(O86+Q86)*0.0966</f>
        <v>4341.3355001313139</v>
      </c>
      <c r="S86" s="366">
        <f>+(+O86+Q86+R86)*0.1</f>
        <v>4928.2696785134576</v>
      </c>
      <c r="T86" s="363">
        <f t="shared" si="87"/>
        <v>54210.96646364803</v>
      </c>
      <c r="U86" s="382">
        <f>+T86*100/80</f>
        <v>67763.708079560049</v>
      </c>
      <c r="V86" s="16"/>
      <c r="W86" s="105"/>
      <c r="X86" s="114"/>
      <c r="Y86" s="101"/>
      <c r="AF86" s="101"/>
      <c r="AG86" s="101"/>
    </row>
    <row r="87" spans="1:33" x14ac:dyDescent="0.25">
      <c r="A87" s="516"/>
      <c r="B87" s="506"/>
      <c r="C87" s="374">
        <v>4</v>
      </c>
      <c r="D87" s="506" t="s">
        <v>326</v>
      </c>
      <c r="E87" s="506"/>
      <c r="F87" s="374" t="s">
        <v>133</v>
      </c>
      <c r="G87" s="374">
        <v>300</v>
      </c>
      <c r="H87" s="374">
        <f t="shared" si="88"/>
        <v>6600</v>
      </c>
      <c r="I87" s="373">
        <v>10945.43</v>
      </c>
      <c r="J87" s="374">
        <v>2062</v>
      </c>
      <c r="K87" s="374">
        <v>3000</v>
      </c>
      <c r="L87" s="526"/>
      <c r="M87" s="507"/>
      <c r="N87" s="373">
        <f t="shared" si="85"/>
        <v>1212.121212121212</v>
      </c>
      <c r="O87" s="154">
        <f t="shared" si="89"/>
        <v>17219.551212121212</v>
      </c>
      <c r="P87" s="108">
        <v>0.331841</v>
      </c>
      <c r="Q87" s="155">
        <f t="shared" si="90"/>
        <v>5714.1530937815151</v>
      </c>
      <c r="R87" s="155">
        <f t="shared" si="86"/>
        <v>2215.3958359502035</v>
      </c>
      <c r="S87" s="366">
        <f t="shared" si="91"/>
        <v>2514.9100141852932</v>
      </c>
      <c r="T87" s="363">
        <f t="shared" si="87"/>
        <v>27664.010156038225</v>
      </c>
      <c r="U87" s="382">
        <f t="shared" si="92"/>
        <v>34580.012695047786</v>
      </c>
      <c r="V87" s="16">
        <v>34580.005862397833</v>
      </c>
      <c r="W87" s="105">
        <v>26280.799999999999</v>
      </c>
      <c r="X87" s="114">
        <f t="shared" si="84"/>
        <v>1383.2101560382253</v>
      </c>
      <c r="Y87" s="101"/>
      <c r="AF87" s="101"/>
      <c r="AG87" s="101"/>
    </row>
    <row r="88" spans="1:33" x14ac:dyDescent="0.25">
      <c r="A88" s="516"/>
      <c r="B88" s="506"/>
      <c r="C88" s="374">
        <v>5</v>
      </c>
      <c r="D88" s="506" t="s">
        <v>327</v>
      </c>
      <c r="E88" s="506"/>
      <c r="F88" s="374" t="s">
        <v>159</v>
      </c>
      <c r="G88" s="374">
        <v>400</v>
      </c>
      <c r="H88" s="374">
        <f t="shared" si="88"/>
        <v>8800</v>
      </c>
      <c r="I88" s="373">
        <v>9008</v>
      </c>
      <c r="J88" s="374">
        <v>620</v>
      </c>
      <c r="K88" s="374">
        <v>1000</v>
      </c>
      <c r="L88" s="526"/>
      <c r="M88" s="507"/>
      <c r="N88" s="373">
        <f t="shared" si="85"/>
        <v>909.09090909090912</v>
      </c>
      <c r="O88" s="154">
        <f t="shared" si="89"/>
        <v>11537.090909090908</v>
      </c>
      <c r="P88" s="108">
        <v>0.257766</v>
      </c>
      <c r="Q88" s="155">
        <f t="shared" si="90"/>
        <v>2973.8697752727271</v>
      </c>
      <c r="R88" s="155">
        <f t="shared" si="86"/>
        <v>1401.7588021095273</v>
      </c>
      <c r="S88" s="366">
        <f t="shared" si="91"/>
        <v>1591.2719486473163</v>
      </c>
      <c r="T88" s="363">
        <f t="shared" si="87"/>
        <v>17503.991435120479</v>
      </c>
      <c r="U88" s="382">
        <f t="shared" si="92"/>
        <v>21879.989293900599</v>
      </c>
      <c r="V88" s="16">
        <v>21879.994787347157</v>
      </c>
      <c r="W88" s="105">
        <v>16628.8</v>
      </c>
      <c r="X88" s="114">
        <f t="shared" si="84"/>
        <v>875.19143512047958</v>
      </c>
      <c r="Y88" s="101"/>
      <c r="AF88" s="101"/>
      <c r="AG88" s="101"/>
    </row>
    <row r="89" spans="1:33" x14ac:dyDescent="0.25">
      <c r="A89" s="516"/>
      <c r="B89" s="506"/>
      <c r="C89" s="377"/>
      <c r="D89" s="506" t="s">
        <v>327</v>
      </c>
      <c r="E89" s="506"/>
      <c r="F89" s="377" t="s">
        <v>532</v>
      </c>
      <c r="G89" s="378">
        <v>400</v>
      </c>
      <c r="H89" s="377">
        <v>8800</v>
      </c>
      <c r="I89" s="159">
        <f>+I88*5</f>
        <v>45040</v>
      </c>
      <c r="J89" s="378">
        <v>425</v>
      </c>
      <c r="K89" s="378">
        <f>+K88*5</f>
        <v>5000</v>
      </c>
      <c r="L89" s="526"/>
      <c r="M89" s="507"/>
      <c r="N89" s="376">
        <f t="shared" si="85"/>
        <v>909.09090909090912</v>
      </c>
      <c r="O89" s="154">
        <f t="shared" si="89"/>
        <v>51374.090909090912</v>
      </c>
      <c r="P89" s="108">
        <v>0.2</v>
      </c>
      <c r="Q89" s="155">
        <f>+O89*P89</f>
        <v>10274.818181818184</v>
      </c>
      <c r="R89" s="155">
        <f>+(O89+Q89)*0.0966</f>
        <v>5955.2846181818186</v>
      </c>
      <c r="S89" s="366">
        <f>+(+O89+Q89+R89)*0.1</f>
        <v>6760.4193709090923</v>
      </c>
      <c r="T89" s="363">
        <f t="shared" si="87"/>
        <v>74364.61308000001</v>
      </c>
      <c r="U89" s="382">
        <f>+T89*100/80</f>
        <v>92955.76635000002</v>
      </c>
      <c r="V89" s="16"/>
      <c r="W89" s="105"/>
      <c r="X89" s="114"/>
      <c r="Y89" s="101"/>
      <c r="AF89" s="101"/>
      <c r="AG89" s="101"/>
    </row>
    <row r="90" spans="1:33" x14ac:dyDescent="0.25">
      <c r="A90" s="516"/>
      <c r="B90" s="506"/>
      <c r="C90" s="374">
        <v>6</v>
      </c>
      <c r="D90" s="508" t="s">
        <v>328</v>
      </c>
      <c r="E90" s="509"/>
      <c r="F90" s="372" t="s">
        <v>329</v>
      </c>
      <c r="G90" s="372">
        <v>400</v>
      </c>
      <c r="H90" s="374">
        <f t="shared" si="88"/>
        <v>8800</v>
      </c>
      <c r="I90" s="159">
        <v>985</v>
      </c>
      <c r="J90" s="372">
        <v>1200</v>
      </c>
      <c r="K90" s="372">
        <v>1000</v>
      </c>
      <c r="L90" s="526"/>
      <c r="M90" s="507"/>
      <c r="N90" s="373">
        <f t="shared" si="85"/>
        <v>909.09090909090912</v>
      </c>
      <c r="O90" s="154">
        <f>+N90+K90+J90+I90</f>
        <v>4094.090909090909</v>
      </c>
      <c r="P90" s="108">
        <v>0.8</v>
      </c>
      <c r="Q90" s="155">
        <f t="shared" si="90"/>
        <v>3275.2727272727275</v>
      </c>
      <c r="R90" s="155">
        <f t="shared" si="86"/>
        <v>711.88052727272725</v>
      </c>
      <c r="S90" s="366">
        <f>+(+O90+Q90+R90)*0.1</f>
        <v>808.12441636363644</v>
      </c>
      <c r="T90" s="363">
        <f t="shared" si="87"/>
        <v>8889.3685800000003</v>
      </c>
      <c r="U90" s="382">
        <f>+T90*100/76</f>
        <v>11696.537605263158</v>
      </c>
      <c r="V90" s="16">
        <v>11696.537605263158</v>
      </c>
      <c r="W90" s="105"/>
      <c r="Y90" s="101"/>
      <c r="AF90" s="101"/>
      <c r="AG90" s="101"/>
    </row>
    <row r="91" spans="1:33" x14ac:dyDescent="0.25">
      <c r="A91" s="160" t="s">
        <v>167</v>
      </c>
      <c r="B91" s="117"/>
      <c r="C91" s="117"/>
      <c r="D91" s="117"/>
      <c r="E91" s="117"/>
      <c r="F91" s="117"/>
      <c r="G91" s="117"/>
      <c r="H91" s="117"/>
      <c r="I91" s="161"/>
      <c r="J91" s="117"/>
      <c r="K91" s="117"/>
      <c r="L91" s="526"/>
      <c r="M91" s="181">
        <v>0.35</v>
      </c>
      <c r="N91" s="162"/>
      <c r="O91" s="162"/>
      <c r="P91" s="162"/>
      <c r="Q91" s="162"/>
      <c r="R91" s="162"/>
      <c r="S91" s="162"/>
      <c r="T91" s="380"/>
      <c r="U91" s="162"/>
      <c r="V91" s="16"/>
      <c r="W91" s="105"/>
      <c r="Y91" s="101"/>
      <c r="AF91" s="101"/>
      <c r="AG91" s="101"/>
    </row>
    <row r="92" spans="1:33" x14ac:dyDescent="0.25">
      <c r="V92"/>
      <c r="W92" s="101"/>
      <c r="Y92" s="101"/>
      <c r="AF92" s="101"/>
      <c r="AG92" s="101"/>
    </row>
    <row r="93" spans="1:33" ht="19.5" x14ac:dyDescent="0.25">
      <c r="A93" s="533" t="s">
        <v>568</v>
      </c>
      <c r="B93" s="533"/>
      <c r="C93" s="533"/>
      <c r="D93" s="533"/>
      <c r="E93" s="533"/>
      <c r="F93" s="533"/>
      <c r="G93" s="533"/>
      <c r="H93" s="533"/>
      <c r="I93" s="533"/>
      <c r="J93" s="533"/>
      <c r="K93" s="533"/>
      <c r="L93" s="533"/>
      <c r="M93" s="533"/>
      <c r="N93" s="533"/>
      <c r="V93"/>
    </row>
    <row r="94" spans="1:33" x14ac:dyDescent="0.25">
      <c r="A94" s="429"/>
      <c r="B94" s="429"/>
      <c r="C94" s="429"/>
      <c r="D94" s="429"/>
      <c r="E94" s="429"/>
      <c r="F94" s="429"/>
      <c r="G94" s="429"/>
      <c r="H94" s="429"/>
      <c r="I94" s="429"/>
      <c r="J94" s="429"/>
      <c r="K94" s="429"/>
      <c r="L94" s="429"/>
      <c r="M94" s="429"/>
      <c r="N94" s="429"/>
      <c r="V94"/>
    </row>
    <row r="95" spans="1:33" x14ac:dyDescent="0.25">
      <c r="A95" s="428"/>
      <c r="B95" s="428"/>
      <c r="C95" s="428"/>
      <c r="D95" s="428"/>
      <c r="E95" s="428"/>
      <c r="F95" s="427"/>
      <c r="G95" s="427"/>
      <c r="H95" s="427"/>
      <c r="I95" s="427"/>
      <c r="J95" s="427"/>
      <c r="K95" s="427"/>
      <c r="L95" s="427"/>
      <c r="M95" s="427"/>
      <c r="N95" s="427"/>
    </row>
    <row r="96" spans="1:33" x14ac:dyDescent="0.25">
      <c r="A96" s="426"/>
      <c r="B96" s="426"/>
      <c r="C96" s="426"/>
      <c r="D96" s="426"/>
      <c r="E96" s="426"/>
      <c r="F96" s="426"/>
      <c r="G96" s="426"/>
      <c r="H96" s="426"/>
      <c r="I96" s="426"/>
      <c r="J96" s="426"/>
      <c r="K96" s="426"/>
      <c r="L96" s="426"/>
      <c r="M96" s="426"/>
      <c r="N96" s="426"/>
    </row>
    <row r="97" spans="1:14" ht="45" x14ac:dyDescent="0.25">
      <c r="A97" s="425" t="s">
        <v>567</v>
      </c>
      <c r="B97" s="425" t="s">
        <v>566</v>
      </c>
      <c r="C97" s="425" t="s">
        <v>565</v>
      </c>
      <c r="D97" s="425" t="s">
        <v>564</v>
      </c>
      <c r="E97" s="425" t="s">
        <v>563</v>
      </c>
      <c r="F97" s="425" t="s">
        <v>562</v>
      </c>
      <c r="G97" s="425" t="s">
        <v>561</v>
      </c>
      <c r="H97" s="425" t="s">
        <v>560</v>
      </c>
      <c r="I97" s="425" t="s">
        <v>559</v>
      </c>
      <c r="J97" s="425" t="s">
        <v>558</v>
      </c>
      <c r="K97" s="425" t="s">
        <v>557</v>
      </c>
      <c r="L97" s="425" t="s">
        <v>556</v>
      </c>
      <c r="M97" s="425" t="s">
        <v>555</v>
      </c>
      <c r="N97" s="425" t="s">
        <v>554</v>
      </c>
    </row>
    <row r="98" spans="1:14" ht="57" x14ac:dyDescent="0.25">
      <c r="A98" s="424" t="s">
        <v>553</v>
      </c>
      <c r="B98" s="424" t="s">
        <v>552</v>
      </c>
      <c r="C98" s="424" t="s">
        <v>547</v>
      </c>
      <c r="D98" s="423">
        <f>7052*1.2</f>
        <v>8462.4</v>
      </c>
      <c r="E98" s="423">
        <v>2800</v>
      </c>
      <c r="F98" s="422">
        <v>3180</v>
      </c>
      <c r="G98" s="422">
        <f>15000000/10600</f>
        <v>1415.0943396226414</v>
      </c>
      <c r="H98" s="422">
        <v>4166.666666666667</v>
      </c>
      <c r="I98" s="420">
        <f>+D98+E98+F98+G98+H98</f>
        <v>20024.161006289309</v>
      </c>
      <c r="J98" s="420">
        <f>+L98-I98</f>
        <v>3612.2026300743273</v>
      </c>
      <c r="K98" s="421">
        <f>IFERROR(J98/L98,0)</f>
        <v>0.15282395742622154</v>
      </c>
      <c r="L98" s="420">
        <f>+N98-M98</f>
        <v>23636.363636363636</v>
      </c>
      <c r="M98" s="420">
        <f>+N98/11</f>
        <v>2363.6363636363635</v>
      </c>
      <c r="N98" s="419">
        <v>26000</v>
      </c>
    </row>
    <row r="99" spans="1:14" ht="28.5" x14ac:dyDescent="0.25">
      <c r="A99" s="424" t="s">
        <v>551</v>
      </c>
      <c r="B99" s="424" t="s">
        <v>550</v>
      </c>
      <c r="C99" s="424" t="s">
        <v>547</v>
      </c>
      <c r="D99" s="423">
        <v>32170</v>
      </c>
      <c r="E99" s="423">
        <v>1890</v>
      </c>
      <c r="F99" s="422">
        <v>8860</v>
      </c>
      <c r="G99" s="422">
        <f>15000000/8000</f>
        <v>1875</v>
      </c>
      <c r="H99" s="422">
        <v>7180</v>
      </c>
      <c r="I99" s="420">
        <f>+D99+E99+F99+G99+H99</f>
        <v>51975</v>
      </c>
      <c r="J99" s="420">
        <f>+L99-I99</f>
        <v>13115.909090909088</v>
      </c>
      <c r="K99" s="421">
        <f>IFERROR(J99/L99,0)</f>
        <v>0.20150139664804467</v>
      </c>
      <c r="L99" s="420">
        <f>+N99-M99</f>
        <v>65090.909090909088</v>
      </c>
      <c r="M99" s="420">
        <f>+N99/11</f>
        <v>6509.090909090909</v>
      </c>
      <c r="N99" s="419">
        <v>71600</v>
      </c>
    </row>
    <row r="100" spans="1:14" ht="71.25" x14ac:dyDescent="0.25">
      <c r="A100" s="424" t="s">
        <v>549</v>
      </c>
      <c r="B100" s="424" t="s">
        <v>548</v>
      </c>
      <c r="C100" s="424" t="s">
        <v>547</v>
      </c>
      <c r="D100" s="423">
        <v>14168</v>
      </c>
      <c r="E100" s="423">
        <v>1890</v>
      </c>
      <c r="F100" s="422">
        <v>3690</v>
      </c>
      <c r="G100" s="422">
        <f>15000000/8000</f>
        <v>1875</v>
      </c>
      <c r="H100" s="422">
        <v>5800</v>
      </c>
      <c r="I100" s="420">
        <f>+D100+E100+F100+G100+H100</f>
        <v>27423</v>
      </c>
      <c r="J100" s="420">
        <f>+L100-I100</f>
        <v>5304.2727272727279</v>
      </c>
      <c r="K100" s="421">
        <f>IFERROR(J100/L100,0)</f>
        <v>0.16207500000000002</v>
      </c>
      <c r="L100" s="420">
        <f>+N100-M100</f>
        <v>32727.272727272728</v>
      </c>
      <c r="M100" s="420">
        <f>+N100/11</f>
        <v>3272.7272727272725</v>
      </c>
      <c r="N100" s="419">
        <v>36000</v>
      </c>
    </row>
    <row r="101" spans="1:14" ht="28.5" x14ac:dyDescent="0.25">
      <c r="A101" s="424" t="s">
        <v>546</v>
      </c>
      <c r="B101" s="424" t="s">
        <v>545</v>
      </c>
      <c r="C101" s="424" t="s">
        <v>544</v>
      </c>
      <c r="D101" s="423">
        <f>10070*1.2</f>
        <v>12084</v>
      </c>
      <c r="E101" s="423">
        <v>1770</v>
      </c>
      <c r="F101" s="422">
        <v>1900</v>
      </c>
      <c r="G101" s="422">
        <f>15000000/15000</f>
        <v>1000</v>
      </c>
      <c r="H101" s="422">
        <v>4166.666666666667</v>
      </c>
      <c r="I101" s="420">
        <f>+D101+E101+F101+G101+H101</f>
        <v>20920.666666666668</v>
      </c>
      <c r="J101" s="420">
        <f>+L101-I101</f>
        <v>4533.878787878788</v>
      </c>
      <c r="K101" s="421">
        <f>IFERROR(J101/L101,0)</f>
        <v>0.17811666666666667</v>
      </c>
      <c r="L101" s="420">
        <f>+N101-M101</f>
        <v>25454.545454545456</v>
      </c>
      <c r="M101" s="420">
        <f>+N101/11</f>
        <v>2545.4545454545455</v>
      </c>
      <c r="N101" s="419">
        <v>28000</v>
      </c>
    </row>
    <row r="102" spans="1:14" ht="28.5" x14ac:dyDescent="0.25">
      <c r="A102" s="424" t="s">
        <v>543</v>
      </c>
      <c r="B102" s="424" t="s">
        <v>542</v>
      </c>
      <c r="C102" s="424" t="s">
        <v>541</v>
      </c>
      <c r="D102" s="423">
        <v>12916</v>
      </c>
      <c r="E102" s="423">
        <v>1770</v>
      </c>
      <c r="F102" s="422">
        <v>1900</v>
      </c>
      <c r="G102" s="422">
        <f>15000000/15000</f>
        <v>1000</v>
      </c>
      <c r="H102" s="422">
        <v>4166.666666666667</v>
      </c>
      <c r="I102" s="420">
        <f>+D102+E102+F102+G102+H102</f>
        <v>21752.666666666668</v>
      </c>
      <c r="J102" s="420">
        <f>+L102-I102</f>
        <v>2792.7878787878763</v>
      </c>
      <c r="K102" s="421">
        <f>IFERROR(J102/L102,0)</f>
        <v>0.11378024691358014</v>
      </c>
      <c r="L102" s="420">
        <f>+N102-M102</f>
        <v>24545.454545454544</v>
      </c>
      <c r="M102" s="420">
        <f>+N102/11</f>
        <v>2454.5454545454545</v>
      </c>
      <c r="N102" s="419">
        <v>27000</v>
      </c>
    </row>
  </sheetData>
  <mergeCells count="93">
    <mergeCell ref="A55:S55"/>
    <mergeCell ref="M64:M68"/>
    <mergeCell ref="A93:N93"/>
    <mergeCell ref="D76:E76"/>
    <mergeCell ref="B73:B78"/>
    <mergeCell ref="L73:L91"/>
    <mergeCell ref="D77:E77"/>
    <mergeCell ref="D78:E78"/>
    <mergeCell ref="D79:E79"/>
    <mergeCell ref="M58:M62"/>
    <mergeCell ref="D59:E59"/>
    <mergeCell ref="D60:E60"/>
    <mergeCell ref="D61:E61"/>
    <mergeCell ref="D62:E62"/>
    <mergeCell ref="D56:E56"/>
    <mergeCell ref="A58:A62"/>
    <mergeCell ref="B58:B62"/>
    <mergeCell ref="D58:E58"/>
    <mergeCell ref="L58:L68"/>
    <mergeCell ref="A64:A68"/>
    <mergeCell ref="B64:B68"/>
    <mergeCell ref="D64:D66"/>
    <mergeCell ref="D67:E67"/>
    <mergeCell ref="D68:E68"/>
    <mergeCell ref="L34:L51"/>
    <mergeCell ref="M34:M39"/>
    <mergeCell ref="D35:E35"/>
    <mergeCell ref="D36:E36"/>
    <mergeCell ref="D37:E37"/>
    <mergeCell ref="D38:E38"/>
    <mergeCell ref="D39:E39"/>
    <mergeCell ref="D41:D43"/>
    <mergeCell ref="M41:M46"/>
    <mergeCell ref="D44:E44"/>
    <mergeCell ref="D45:E45"/>
    <mergeCell ref="D46:E46"/>
    <mergeCell ref="D48:E48"/>
    <mergeCell ref="M48:M51"/>
    <mergeCell ref="D49:E49"/>
    <mergeCell ref="D50:E50"/>
    <mergeCell ref="A34:A39"/>
    <mergeCell ref="B34:B39"/>
    <mergeCell ref="D34:E34"/>
    <mergeCell ref="A41:A46"/>
    <mergeCell ref="B41:B46"/>
    <mergeCell ref="A48:A51"/>
    <mergeCell ref="B48:B51"/>
    <mergeCell ref="D51:E51"/>
    <mergeCell ref="L4:L26"/>
    <mergeCell ref="M12:M21"/>
    <mergeCell ref="M23:M26"/>
    <mergeCell ref="D9:E9"/>
    <mergeCell ref="A4:A9"/>
    <mergeCell ref="B4:B9"/>
    <mergeCell ref="D8:E8"/>
    <mergeCell ref="A12:A21"/>
    <mergeCell ref="B12:B21"/>
    <mergeCell ref="D12:D14"/>
    <mergeCell ref="D18:E18"/>
    <mergeCell ref="D19:E19"/>
    <mergeCell ref="M4:M10"/>
    <mergeCell ref="A23:A26"/>
    <mergeCell ref="B23:B26"/>
    <mergeCell ref="D32:E32"/>
    <mergeCell ref="D2:E2"/>
    <mergeCell ref="D4:E4"/>
    <mergeCell ref="D5:E5"/>
    <mergeCell ref="D6:E6"/>
    <mergeCell ref="D7:E7"/>
    <mergeCell ref="D10:E10"/>
    <mergeCell ref="D21:E21"/>
    <mergeCell ref="D23:E23"/>
    <mergeCell ref="D24:E24"/>
    <mergeCell ref="D25:E25"/>
    <mergeCell ref="D26:E26"/>
    <mergeCell ref="D15:D17"/>
    <mergeCell ref="D20:E20"/>
    <mergeCell ref="A70:U70"/>
    <mergeCell ref="D89:E89"/>
    <mergeCell ref="B81:B90"/>
    <mergeCell ref="D81:D83"/>
    <mergeCell ref="M81:M90"/>
    <mergeCell ref="D87:E87"/>
    <mergeCell ref="D88:E88"/>
    <mergeCell ref="D90:E90"/>
    <mergeCell ref="D71:E71"/>
    <mergeCell ref="A73:A78"/>
    <mergeCell ref="M73:M79"/>
    <mergeCell ref="D84:D86"/>
    <mergeCell ref="A81:A90"/>
    <mergeCell ref="D73:E73"/>
    <mergeCell ref="D74:E74"/>
    <mergeCell ref="D75:E75"/>
  </mergeCells>
  <phoneticPr fontId="14" type="noConversion"/>
  <pageMargins left="0.7" right="0.7" top="0.75" bottom="0.75" header="0.3" footer="0.3"/>
  <pageSetup scale="25" orientation="landscape" horizontalDpi="4294967293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2247C-303E-4D73-8B6D-E0AF27DC84C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U27"/>
  <sheetViews>
    <sheetView zoomScale="66" workbookViewId="0">
      <selection activeCell="AL9" sqref="AL9"/>
    </sheetView>
  </sheetViews>
  <sheetFormatPr defaultRowHeight="15" x14ac:dyDescent="0.25"/>
  <cols>
    <col min="1" max="1" width="8.85546875" style="48"/>
    <col min="2" max="2" width="9.42578125" style="48" bestFit="1" customWidth="1"/>
    <col min="3" max="3" width="8.140625" style="302" bestFit="1" customWidth="1"/>
    <col min="4" max="4" width="9" style="302" bestFit="1" customWidth="1"/>
    <col min="5" max="5" width="8.140625" style="302" bestFit="1" customWidth="1"/>
    <col min="6" max="7" width="9.42578125" style="302" bestFit="1" customWidth="1"/>
    <col min="8" max="8" width="13.5703125" style="302" bestFit="1" customWidth="1"/>
    <col min="9" max="10" width="12.7109375" style="302" bestFit="1" customWidth="1"/>
    <col min="11" max="11" width="12.42578125" style="303" customWidth="1"/>
    <col min="12" max="15" width="6.140625" style="302" bestFit="1" customWidth="1"/>
    <col min="16" max="16" width="3.85546875" style="302" bestFit="1" customWidth="1"/>
    <col min="17" max="17" width="5.28515625" style="304" bestFit="1" customWidth="1"/>
    <col min="18" max="19" width="5.5703125" style="304" bestFit="1" customWidth="1"/>
    <col min="20" max="21" width="5.28515625" style="304" bestFit="1" customWidth="1"/>
    <col min="22" max="22" width="5.7109375" style="304" bestFit="1" customWidth="1"/>
    <col min="23" max="23" width="16" style="303" bestFit="1" customWidth="1"/>
    <col min="24" max="28" width="12.7109375" style="305" bestFit="1" customWidth="1"/>
    <col min="29" max="30" width="12.7109375" style="306" bestFit="1" customWidth="1"/>
    <col min="31" max="31" width="21.85546875" style="307" bestFit="1" customWidth="1"/>
    <col min="32" max="33" width="14" style="308" bestFit="1" customWidth="1"/>
    <col min="34" max="34" width="9.42578125" style="308" bestFit="1" customWidth="1"/>
    <col min="35" max="36" width="10.7109375" style="308" bestFit="1" customWidth="1"/>
    <col min="37" max="37" width="12.7109375" style="308" bestFit="1" customWidth="1"/>
    <col min="38" max="38" width="10.7109375" style="308" bestFit="1" customWidth="1"/>
    <col min="39" max="39" width="14" style="307" bestFit="1" customWidth="1"/>
    <col min="40" max="40" width="15.28515625" style="307" bestFit="1" customWidth="1"/>
    <col min="41" max="41" width="9" style="307" bestFit="1" customWidth="1"/>
    <col min="42" max="42" width="7.5703125" style="294" bestFit="1" customWidth="1"/>
    <col min="43" max="44" width="5.5703125" style="294" bestFit="1" customWidth="1"/>
    <col min="45" max="45" width="5.5703125" style="307" bestFit="1" customWidth="1"/>
    <col min="46" max="46" width="5.5703125" style="309" bestFit="1" customWidth="1"/>
    <col min="47" max="47" width="8.85546875" style="309"/>
    <col min="48" max="16384" width="9.140625" style="309"/>
  </cols>
  <sheetData>
    <row r="2" spans="1:47" x14ac:dyDescent="0.25">
      <c r="A2" s="286"/>
      <c r="B2" s="286"/>
      <c r="C2" s="539" t="s">
        <v>0</v>
      </c>
      <c r="D2" s="539"/>
      <c r="E2" s="539"/>
      <c r="F2" s="539"/>
      <c r="G2" s="539"/>
      <c r="H2" s="539"/>
      <c r="I2" s="539"/>
      <c r="J2" s="539"/>
      <c r="K2" s="534" t="s">
        <v>1</v>
      </c>
      <c r="L2" s="539" t="s">
        <v>2</v>
      </c>
      <c r="M2" s="539"/>
      <c r="N2" s="539"/>
      <c r="O2" s="539"/>
      <c r="P2" s="539"/>
      <c r="Q2" s="540" t="s">
        <v>3</v>
      </c>
      <c r="R2" s="541"/>
      <c r="S2" s="541"/>
      <c r="T2" s="541"/>
      <c r="U2" s="541"/>
      <c r="V2" s="542"/>
      <c r="W2" s="534" t="s">
        <v>4</v>
      </c>
      <c r="X2" s="543" t="s">
        <v>5</v>
      </c>
      <c r="Y2" s="544"/>
      <c r="Z2" s="544"/>
      <c r="AA2" s="544"/>
      <c r="AB2" s="544"/>
      <c r="AC2" s="544"/>
      <c r="AD2" s="545"/>
      <c r="AE2" s="534" t="s">
        <v>6</v>
      </c>
      <c r="AF2" s="536" t="s">
        <v>7</v>
      </c>
      <c r="AG2" s="536"/>
      <c r="AH2" s="536"/>
      <c r="AI2" s="536"/>
      <c r="AJ2" s="536"/>
      <c r="AK2" s="536"/>
      <c r="AL2" s="536"/>
      <c r="AM2" s="537" t="s">
        <v>8</v>
      </c>
      <c r="AN2" s="295"/>
      <c r="AO2" s="295"/>
      <c r="AP2" s="1"/>
      <c r="AQ2" s="310"/>
      <c r="AR2" s="310"/>
      <c r="AS2" s="310"/>
      <c r="AT2" s="310"/>
      <c r="AU2" s="311"/>
    </row>
    <row r="3" spans="1:47" s="314" customFormat="1" ht="113.25" x14ac:dyDescent="0.25">
      <c r="A3" s="338"/>
      <c r="B3" s="286" t="s">
        <v>9</v>
      </c>
      <c r="C3" s="339" t="s">
        <v>10</v>
      </c>
      <c r="D3" s="339" t="s">
        <v>11</v>
      </c>
      <c r="E3" s="339" t="s">
        <v>12</v>
      </c>
      <c r="F3" s="339" t="s">
        <v>13</v>
      </c>
      <c r="G3" s="339" t="s">
        <v>14</v>
      </c>
      <c r="H3" s="339" t="s">
        <v>15</v>
      </c>
      <c r="I3" s="339" t="s">
        <v>16</v>
      </c>
      <c r="J3" s="339" t="s">
        <v>17</v>
      </c>
      <c r="K3" s="535"/>
      <c r="L3" s="339" t="s">
        <v>18</v>
      </c>
      <c r="M3" s="339" t="s">
        <v>19</v>
      </c>
      <c r="N3" s="339" t="s">
        <v>20</v>
      </c>
      <c r="O3" s="339" t="s">
        <v>2</v>
      </c>
      <c r="P3" s="339" t="s">
        <v>21</v>
      </c>
      <c r="Q3" s="41" t="s">
        <v>22</v>
      </c>
      <c r="R3" s="41" t="s">
        <v>23</v>
      </c>
      <c r="S3" s="41" t="s">
        <v>24</v>
      </c>
      <c r="T3" s="41" t="s">
        <v>25</v>
      </c>
      <c r="U3" s="41" t="s">
        <v>26</v>
      </c>
      <c r="V3" s="41" t="s">
        <v>27</v>
      </c>
      <c r="W3" s="535"/>
      <c r="X3" s="340" t="s">
        <v>28</v>
      </c>
      <c r="Y3" s="340" t="s">
        <v>29</v>
      </c>
      <c r="Z3" s="340" t="s">
        <v>30</v>
      </c>
      <c r="AA3" s="340" t="s">
        <v>31</v>
      </c>
      <c r="AB3" s="340" t="s">
        <v>32</v>
      </c>
      <c r="AC3" s="340" t="s">
        <v>33</v>
      </c>
      <c r="AD3" s="340" t="s">
        <v>34</v>
      </c>
      <c r="AE3" s="535"/>
      <c r="AF3" s="341" t="s">
        <v>35</v>
      </c>
      <c r="AG3" s="341" t="s">
        <v>36</v>
      </c>
      <c r="AH3" s="341" t="s">
        <v>37</v>
      </c>
      <c r="AI3" s="341" t="s">
        <v>38</v>
      </c>
      <c r="AJ3" s="341" t="s">
        <v>39</v>
      </c>
      <c r="AK3" s="341" t="s">
        <v>40</v>
      </c>
      <c r="AL3" s="341" t="s">
        <v>41</v>
      </c>
      <c r="AM3" s="538"/>
      <c r="AN3" s="296" t="s">
        <v>42</v>
      </c>
      <c r="AO3" s="296" t="s">
        <v>43</v>
      </c>
      <c r="AP3" s="297" t="s">
        <v>44</v>
      </c>
      <c r="AQ3" s="297" t="s">
        <v>45</v>
      </c>
      <c r="AR3" s="297" t="s">
        <v>46</v>
      </c>
      <c r="AS3" s="312" t="s">
        <v>47</v>
      </c>
      <c r="AT3" s="313" t="s">
        <v>46</v>
      </c>
      <c r="AU3" s="313"/>
    </row>
    <row r="4" spans="1:47" s="299" customFormat="1" ht="98.25" customHeight="1" x14ac:dyDescent="0.25">
      <c r="A4" s="298" t="s">
        <v>48</v>
      </c>
      <c r="B4" s="298"/>
      <c r="C4" s="324">
        <f>35000/4</f>
        <v>8750</v>
      </c>
      <c r="D4" s="324">
        <v>12000</v>
      </c>
      <c r="E4" s="324">
        <v>2000</v>
      </c>
      <c r="F4" s="324">
        <v>50000</v>
      </c>
      <c r="G4" s="324">
        <v>50000</v>
      </c>
      <c r="H4" s="324">
        <v>1800</v>
      </c>
      <c r="I4" s="324">
        <v>1800</v>
      </c>
      <c r="J4" s="324">
        <v>2</v>
      </c>
      <c r="K4" s="325"/>
      <c r="L4" s="324">
        <v>600</v>
      </c>
      <c r="M4" s="324">
        <v>300</v>
      </c>
      <c r="N4" s="324">
        <v>300</v>
      </c>
      <c r="O4" s="324">
        <v>200</v>
      </c>
      <c r="P4" s="324"/>
      <c r="Q4" s="326">
        <v>110</v>
      </c>
      <c r="R4" s="326">
        <f>2500/100</f>
        <v>25</v>
      </c>
      <c r="S4" s="326">
        <v>110</v>
      </c>
      <c r="T4" s="326">
        <f>5000/1000</f>
        <v>5</v>
      </c>
      <c r="U4" s="326">
        <f>2500/100</f>
        <v>25</v>
      </c>
      <c r="V4" s="326">
        <v>100</v>
      </c>
      <c r="W4" s="325"/>
      <c r="X4" s="327">
        <v>2500000</v>
      </c>
      <c r="Y4" s="327">
        <v>2500000</v>
      </c>
      <c r="Z4" s="327">
        <v>2500000</v>
      </c>
      <c r="AA4" s="327">
        <v>2500000</v>
      </c>
      <c r="AB4" s="327">
        <v>2500000</v>
      </c>
      <c r="AC4" s="327">
        <v>2500000</v>
      </c>
      <c r="AD4" s="327">
        <v>2500000</v>
      </c>
      <c r="AE4" s="325"/>
      <c r="AF4" s="328">
        <v>15000000</v>
      </c>
      <c r="AG4" s="328">
        <v>50000000</v>
      </c>
      <c r="AH4" s="328">
        <v>30000</v>
      </c>
      <c r="AI4" s="328">
        <v>800000</v>
      </c>
      <c r="AJ4" s="328">
        <v>500000</v>
      </c>
      <c r="AK4" s="328">
        <v>2000000</v>
      </c>
      <c r="AL4" s="328">
        <v>500000</v>
      </c>
      <c r="AM4" s="325">
        <f>+AF4+AG4+AH4+AI4+AJ4+AK4+AL4</f>
        <v>68830000</v>
      </c>
      <c r="AN4" s="325"/>
      <c r="AO4" s="325"/>
      <c r="AP4" s="329">
        <v>0.3</v>
      </c>
      <c r="AQ4" s="329">
        <v>0.1</v>
      </c>
      <c r="AR4" s="330"/>
      <c r="AS4" s="325"/>
      <c r="AT4" s="298"/>
      <c r="AU4" s="298"/>
    </row>
    <row r="5" spans="1:47" s="314" customFormat="1" x14ac:dyDescent="0.25">
      <c r="A5" s="300" t="s">
        <v>49</v>
      </c>
      <c r="B5" s="300">
        <v>2000</v>
      </c>
      <c r="C5" s="316"/>
      <c r="D5" s="316"/>
      <c r="E5" s="316"/>
      <c r="F5" s="316"/>
      <c r="G5" s="316"/>
      <c r="H5" s="316"/>
      <c r="I5" s="316"/>
      <c r="J5" s="316"/>
      <c r="K5" s="317"/>
      <c r="L5" s="316">
        <v>1</v>
      </c>
      <c r="M5" s="316">
        <v>1</v>
      </c>
      <c r="N5" s="316">
        <v>1</v>
      </c>
      <c r="O5" s="316"/>
      <c r="P5" s="316"/>
      <c r="Q5" s="318">
        <v>2</v>
      </c>
      <c r="R5" s="318">
        <v>2</v>
      </c>
      <c r="S5" s="318">
        <v>2</v>
      </c>
      <c r="T5" s="318">
        <v>2</v>
      </c>
      <c r="U5" s="318">
        <v>2</v>
      </c>
      <c r="V5" s="318"/>
      <c r="W5" s="317"/>
      <c r="X5" s="319"/>
      <c r="Y5" s="319"/>
      <c r="Z5" s="319"/>
      <c r="AA5" s="319"/>
      <c r="AB5" s="319"/>
      <c r="AC5" s="320"/>
      <c r="AD5" s="320"/>
      <c r="AE5" s="321"/>
      <c r="AF5" s="322"/>
      <c r="AG5" s="322"/>
      <c r="AH5" s="322"/>
      <c r="AI5" s="322"/>
      <c r="AJ5" s="322"/>
      <c r="AK5" s="322"/>
      <c r="AL5" s="322"/>
      <c r="AM5" s="321"/>
      <c r="AN5" s="321"/>
      <c r="AO5" s="321"/>
      <c r="AP5" s="301"/>
      <c r="AQ5" s="301"/>
      <c r="AR5" s="331"/>
      <c r="AS5" s="321"/>
      <c r="AT5" s="323"/>
      <c r="AU5" s="323"/>
    </row>
    <row r="6" spans="1:47" s="314" customFormat="1" ht="30" x14ac:dyDescent="0.25">
      <c r="A6" s="300" t="s">
        <v>50</v>
      </c>
      <c r="B6" s="300"/>
      <c r="C6" s="316"/>
      <c r="D6" s="316"/>
      <c r="E6" s="316"/>
      <c r="F6" s="316"/>
      <c r="G6" s="316"/>
      <c r="H6" s="316"/>
      <c r="I6" s="316"/>
      <c r="J6" s="316"/>
      <c r="K6" s="317"/>
      <c r="L6" s="316"/>
      <c r="M6" s="316"/>
      <c r="N6" s="316"/>
      <c r="O6" s="316"/>
      <c r="P6" s="316"/>
      <c r="Q6" s="318"/>
      <c r="R6" s="318"/>
      <c r="S6" s="318"/>
      <c r="T6" s="318"/>
      <c r="U6" s="318"/>
      <c r="V6" s="318"/>
      <c r="W6" s="317"/>
      <c r="X6" s="319"/>
      <c r="Y6" s="319"/>
      <c r="Z6" s="319"/>
      <c r="AA6" s="319"/>
      <c r="AB6" s="319"/>
      <c r="AC6" s="320"/>
      <c r="AD6" s="320"/>
      <c r="AE6" s="321"/>
      <c r="AF6" s="322"/>
      <c r="AG6" s="322"/>
      <c r="AH6" s="322"/>
      <c r="AI6" s="322"/>
      <c r="AJ6" s="322"/>
      <c r="AK6" s="322"/>
      <c r="AL6" s="322"/>
      <c r="AM6" s="321"/>
      <c r="AN6" s="321"/>
      <c r="AO6" s="321"/>
      <c r="AP6" s="301"/>
      <c r="AQ6" s="301"/>
      <c r="AR6" s="331"/>
      <c r="AS6" s="321"/>
      <c r="AT6" s="323"/>
      <c r="AU6" s="323"/>
    </row>
    <row r="7" spans="1:47" s="314" customFormat="1" ht="30" x14ac:dyDescent="0.25">
      <c r="A7" s="300" t="s">
        <v>51</v>
      </c>
      <c r="B7" s="300"/>
      <c r="C7" s="316"/>
      <c r="D7" s="316"/>
      <c r="E7" s="316"/>
      <c r="F7" s="316"/>
      <c r="G7" s="316"/>
      <c r="H7" s="316"/>
      <c r="I7" s="316"/>
      <c r="J7" s="316"/>
      <c r="K7" s="317"/>
      <c r="L7" s="316"/>
      <c r="M7" s="316"/>
      <c r="N7" s="316"/>
      <c r="O7" s="316"/>
      <c r="P7" s="316"/>
      <c r="Q7" s="318"/>
      <c r="R7" s="318"/>
      <c r="S7" s="318"/>
      <c r="T7" s="318"/>
      <c r="U7" s="318"/>
      <c r="V7" s="318"/>
      <c r="W7" s="317"/>
      <c r="X7" s="319"/>
      <c r="Y7" s="319"/>
      <c r="Z7" s="319"/>
      <c r="AA7" s="319"/>
      <c r="AB7" s="319"/>
      <c r="AC7" s="320"/>
      <c r="AD7" s="320"/>
      <c r="AE7" s="321"/>
      <c r="AF7" s="322"/>
      <c r="AG7" s="322"/>
      <c r="AH7" s="322"/>
      <c r="AI7" s="322"/>
      <c r="AJ7" s="322"/>
      <c r="AK7" s="322"/>
      <c r="AL7" s="322"/>
      <c r="AM7" s="321"/>
      <c r="AN7" s="321"/>
      <c r="AO7" s="321"/>
      <c r="AP7" s="301"/>
      <c r="AQ7" s="301"/>
      <c r="AR7" s="331"/>
      <c r="AS7" s="321"/>
      <c r="AT7" s="323"/>
      <c r="AU7" s="323"/>
    </row>
    <row r="8" spans="1:47" s="314" customFormat="1" ht="59.25" customHeight="1" x14ac:dyDescent="0.25">
      <c r="A8" s="300" t="s">
        <v>52</v>
      </c>
      <c r="B8" s="300">
        <v>1</v>
      </c>
      <c r="C8" s="316"/>
      <c r="D8" s="316"/>
      <c r="E8" s="316"/>
      <c r="F8" s="316"/>
      <c r="G8" s="316"/>
      <c r="H8" s="332">
        <v>0.3</v>
      </c>
      <c r="I8" s="333">
        <v>0.2</v>
      </c>
      <c r="J8" s="334">
        <v>10</v>
      </c>
      <c r="K8" s="317"/>
      <c r="L8" s="316"/>
      <c r="M8" s="316"/>
      <c r="N8" s="316"/>
      <c r="O8" s="316"/>
      <c r="P8" s="316"/>
      <c r="Q8" s="318"/>
      <c r="R8" s="318"/>
      <c r="S8" s="318"/>
      <c r="T8" s="318"/>
      <c r="U8" s="318"/>
      <c r="V8" s="318"/>
      <c r="W8" s="317"/>
      <c r="X8" s="319"/>
      <c r="Y8" s="319"/>
      <c r="Z8" s="319"/>
      <c r="AA8" s="319"/>
      <c r="AB8" s="319"/>
      <c r="AC8" s="320"/>
      <c r="AD8" s="320"/>
      <c r="AE8" s="321"/>
      <c r="AF8" s="322"/>
      <c r="AG8" s="322"/>
      <c r="AH8" s="322"/>
      <c r="AI8" s="322"/>
      <c r="AJ8" s="322"/>
      <c r="AK8" s="322"/>
      <c r="AL8" s="322"/>
      <c r="AM8" s="321"/>
      <c r="AN8" s="321"/>
      <c r="AO8" s="321"/>
      <c r="AP8" s="301"/>
      <c r="AQ8" s="301"/>
      <c r="AR8" s="301"/>
      <c r="AS8" s="321"/>
      <c r="AT8" s="323"/>
      <c r="AU8" s="323"/>
    </row>
    <row r="9" spans="1:47" s="314" customFormat="1" ht="83.25" customHeight="1" x14ac:dyDescent="0.25">
      <c r="A9" s="300" t="s">
        <v>53</v>
      </c>
      <c r="B9" s="300">
        <f>50*20</f>
        <v>1000</v>
      </c>
      <c r="C9" s="316"/>
      <c r="D9" s="316"/>
      <c r="E9" s="316"/>
      <c r="F9" s="316"/>
      <c r="G9" s="316"/>
      <c r="H9" s="332">
        <f>+H8*B9</f>
        <v>300</v>
      </c>
      <c r="I9" s="332">
        <f>+I8*B9</f>
        <v>200</v>
      </c>
      <c r="J9" s="332">
        <f>+J8*B9</f>
        <v>10000</v>
      </c>
      <c r="K9" s="317"/>
      <c r="L9" s="316"/>
      <c r="M9" s="316"/>
      <c r="N9" s="316"/>
      <c r="O9" s="316"/>
      <c r="P9" s="316"/>
      <c r="Q9" s="318"/>
      <c r="R9" s="318"/>
      <c r="S9" s="318"/>
      <c r="T9" s="318"/>
      <c r="U9" s="318"/>
      <c r="V9" s="318"/>
      <c r="W9" s="317"/>
      <c r="X9" s="319"/>
      <c r="Y9" s="319"/>
      <c r="Z9" s="319"/>
      <c r="AA9" s="319"/>
      <c r="AB9" s="319"/>
      <c r="AC9" s="320"/>
      <c r="AD9" s="320"/>
      <c r="AE9" s="321"/>
      <c r="AF9" s="322"/>
      <c r="AG9" s="322"/>
      <c r="AH9" s="322"/>
      <c r="AI9" s="322"/>
      <c r="AJ9" s="322"/>
      <c r="AK9" s="322"/>
      <c r="AL9" s="322"/>
      <c r="AM9" s="321"/>
      <c r="AN9" s="321"/>
      <c r="AO9" s="321"/>
      <c r="AP9" s="301"/>
      <c r="AQ9" s="301"/>
      <c r="AR9" s="301"/>
      <c r="AS9" s="321"/>
      <c r="AT9" s="323"/>
      <c r="AU9" s="323"/>
    </row>
    <row r="10" spans="1:47" s="314" customFormat="1" ht="63.75" customHeight="1" x14ac:dyDescent="0.25">
      <c r="A10" s="300" t="s">
        <v>54</v>
      </c>
      <c r="B10" s="300">
        <v>26</v>
      </c>
      <c r="C10" s="316"/>
      <c r="D10" s="316"/>
      <c r="E10" s="316"/>
      <c r="F10" s="316"/>
      <c r="G10" s="316"/>
      <c r="H10" s="332">
        <f>+B10*H9</f>
        <v>7800</v>
      </c>
      <c r="I10" s="332">
        <f>+B10*I9</f>
        <v>5200</v>
      </c>
      <c r="J10" s="332">
        <f>+B10*J9</f>
        <v>260000</v>
      </c>
      <c r="K10" s="317"/>
      <c r="L10" s="316"/>
      <c r="M10" s="316"/>
      <c r="N10" s="316"/>
      <c r="O10" s="316"/>
      <c r="P10" s="316"/>
      <c r="Q10" s="318"/>
      <c r="R10" s="318"/>
      <c r="S10" s="318"/>
      <c r="T10" s="318"/>
      <c r="U10" s="318"/>
      <c r="V10" s="318"/>
      <c r="W10" s="317"/>
      <c r="X10" s="319"/>
      <c r="Y10" s="319"/>
      <c r="Z10" s="319"/>
      <c r="AA10" s="319"/>
      <c r="AB10" s="319">
        <v>0.5</v>
      </c>
      <c r="AC10" s="320">
        <v>2</v>
      </c>
      <c r="AD10" s="320">
        <v>0.5</v>
      </c>
      <c r="AE10" s="321"/>
      <c r="AF10" s="322">
        <v>0.2</v>
      </c>
      <c r="AG10" s="322">
        <v>0.05</v>
      </c>
      <c r="AH10" s="322"/>
      <c r="AI10" s="322">
        <v>0.1</v>
      </c>
      <c r="AJ10" s="322">
        <v>0.1</v>
      </c>
      <c r="AK10" s="322">
        <v>0.1</v>
      </c>
      <c r="AL10" s="322">
        <v>0.1</v>
      </c>
      <c r="AM10" s="321"/>
      <c r="AN10" s="321"/>
      <c r="AO10" s="321"/>
      <c r="AP10" s="301"/>
      <c r="AQ10" s="301"/>
      <c r="AR10" s="301"/>
      <c r="AS10" s="321"/>
      <c r="AT10" s="323"/>
      <c r="AU10" s="323"/>
    </row>
    <row r="11" spans="1:47" s="315" customFormat="1" ht="80.25" customHeight="1" x14ac:dyDescent="0.25">
      <c r="A11" s="298" t="s">
        <v>55</v>
      </c>
      <c r="B11" s="298">
        <f>+B9*B10</f>
        <v>26000</v>
      </c>
      <c r="C11" s="324"/>
      <c r="D11" s="324"/>
      <c r="E11" s="324"/>
      <c r="F11" s="324"/>
      <c r="G11" s="324"/>
      <c r="H11" s="324">
        <f>+H10*H4</f>
        <v>14040000</v>
      </c>
      <c r="I11" s="324">
        <f>+I10*I4</f>
        <v>9360000</v>
      </c>
      <c r="J11" s="324">
        <f>+J10*J4</f>
        <v>520000</v>
      </c>
      <c r="K11" s="325">
        <f>+H11+I11+J11</f>
        <v>23920000</v>
      </c>
      <c r="L11" s="324"/>
      <c r="M11" s="324"/>
      <c r="N11" s="324"/>
      <c r="O11" s="324"/>
      <c r="P11" s="324"/>
      <c r="Q11" s="326"/>
      <c r="R11" s="326"/>
      <c r="S11" s="326"/>
      <c r="T11" s="326"/>
      <c r="U11" s="326"/>
      <c r="V11" s="326"/>
      <c r="W11" s="325"/>
      <c r="X11" s="327"/>
      <c r="Y11" s="327"/>
      <c r="Z11" s="327"/>
      <c r="AA11" s="327"/>
      <c r="AB11" s="327">
        <f>+AB10*AB4</f>
        <v>1250000</v>
      </c>
      <c r="AC11" s="327">
        <f>+AC10*AC4</f>
        <v>5000000</v>
      </c>
      <c r="AD11" s="327">
        <f>+AD10*AD4</f>
        <v>1250000</v>
      </c>
      <c r="AE11" s="335">
        <f>+AB11+AC11+AD11</f>
        <v>7500000</v>
      </c>
      <c r="AF11" s="336">
        <f t="shared" ref="AF11:AL11" si="0">+AF10*AF4</f>
        <v>3000000</v>
      </c>
      <c r="AG11" s="336">
        <f t="shared" si="0"/>
        <v>2500000</v>
      </c>
      <c r="AH11" s="336">
        <f t="shared" si="0"/>
        <v>0</v>
      </c>
      <c r="AI11" s="336">
        <f t="shared" si="0"/>
        <v>80000</v>
      </c>
      <c r="AJ11" s="336">
        <f t="shared" si="0"/>
        <v>50000</v>
      </c>
      <c r="AK11" s="336">
        <f t="shared" si="0"/>
        <v>200000</v>
      </c>
      <c r="AL11" s="336">
        <f t="shared" si="0"/>
        <v>50000</v>
      </c>
      <c r="AM11" s="335">
        <f>+AF11+AG11+AH11+AI11+AJ11+AK11+AL11</f>
        <v>5880000</v>
      </c>
      <c r="AN11" s="335">
        <f>+AM11+AE11+W11+K11</f>
        <v>37300000</v>
      </c>
      <c r="AO11" s="335">
        <f>+AN11/B11</f>
        <v>1434.6153846153845</v>
      </c>
      <c r="AP11" s="330">
        <f>+AO11*0.33</f>
        <v>473.42307692307691</v>
      </c>
      <c r="AQ11" s="330"/>
      <c r="AR11" s="330"/>
      <c r="AS11" s="335"/>
      <c r="AT11" s="337"/>
      <c r="AU11" s="337"/>
    </row>
    <row r="12" spans="1:47" x14ac:dyDescent="0.25">
      <c r="A12" s="300"/>
      <c r="B12" s="300"/>
      <c r="C12" s="316"/>
      <c r="D12" s="316"/>
      <c r="E12" s="316"/>
      <c r="F12" s="316"/>
      <c r="G12" s="316"/>
      <c r="H12" s="316"/>
      <c r="I12" s="316"/>
      <c r="J12" s="316"/>
      <c r="K12" s="317"/>
      <c r="L12" s="316"/>
      <c r="M12" s="316"/>
      <c r="N12" s="316"/>
      <c r="O12" s="316"/>
      <c r="P12" s="316"/>
      <c r="Q12" s="318"/>
      <c r="R12" s="318"/>
      <c r="S12" s="318"/>
      <c r="T12" s="318"/>
      <c r="U12" s="318"/>
      <c r="V12" s="318"/>
      <c r="W12" s="317"/>
      <c r="X12" s="319"/>
      <c r="Y12" s="319"/>
      <c r="Z12" s="319"/>
      <c r="AA12" s="319"/>
      <c r="AB12" s="319"/>
      <c r="AC12" s="320"/>
      <c r="AD12" s="320"/>
      <c r="AE12" s="321"/>
      <c r="AF12" s="322"/>
      <c r="AG12" s="322"/>
      <c r="AH12" s="322"/>
      <c r="AI12" s="322"/>
      <c r="AJ12" s="322"/>
      <c r="AK12" s="322"/>
      <c r="AL12" s="322"/>
      <c r="AM12" s="321"/>
      <c r="AN12" s="321"/>
      <c r="AO12" s="321"/>
      <c r="AP12" s="301"/>
      <c r="AQ12" s="301"/>
      <c r="AR12" s="301"/>
      <c r="AS12" s="321"/>
      <c r="AT12" s="323"/>
      <c r="AU12" s="323"/>
    </row>
    <row r="13" spans="1:47" x14ac:dyDescent="0.25">
      <c r="A13" s="300"/>
      <c r="B13" s="300"/>
      <c r="C13" s="316"/>
      <c r="D13" s="316"/>
      <c r="E13" s="316"/>
      <c r="F13" s="316"/>
      <c r="G13" s="316"/>
      <c r="H13" s="316"/>
      <c r="I13" s="316"/>
      <c r="J13" s="316"/>
      <c r="K13" s="317"/>
      <c r="L13" s="316"/>
      <c r="M13" s="316"/>
      <c r="N13" s="316"/>
      <c r="O13" s="316"/>
      <c r="P13" s="316"/>
      <c r="Q13" s="318"/>
      <c r="R13" s="318"/>
      <c r="S13" s="318"/>
      <c r="T13" s="318"/>
      <c r="U13" s="318"/>
      <c r="V13" s="318"/>
      <c r="W13" s="317"/>
      <c r="X13" s="319"/>
      <c r="Y13" s="319"/>
      <c r="Z13" s="319"/>
      <c r="AA13" s="319"/>
      <c r="AB13" s="319"/>
      <c r="AC13" s="320"/>
      <c r="AD13" s="320"/>
      <c r="AE13" s="321"/>
      <c r="AF13" s="322"/>
      <c r="AG13" s="322"/>
      <c r="AH13" s="322"/>
      <c r="AI13" s="322"/>
      <c r="AJ13" s="322"/>
      <c r="AK13" s="322"/>
      <c r="AL13" s="322"/>
      <c r="AM13" s="321"/>
      <c r="AN13" s="321"/>
      <c r="AO13" s="321"/>
      <c r="AP13" s="301"/>
      <c r="AQ13" s="301"/>
      <c r="AR13" s="301"/>
      <c r="AS13" s="321"/>
      <c r="AT13" s="323"/>
      <c r="AU13" s="323"/>
    </row>
    <row r="14" spans="1:47" x14ac:dyDescent="0.25">
      <c r="A14" s="300"/>
      <c r="B14" s="300"/>
      <c r="C14" s="316"/>
      <c r="D14" s="316"/>
      <c r="E14" s="316"/>
      <c r="F14" s="316"/>
      <c r="G14" s="316"/>
      <c r="H14" s="316"/>
      <c r="I14" s="316"/>
      <c r="J14" s="316"/>
      <c r="K14" s="317"/>
      <c r="L14" s="316"/>
      <c r="M14" s="316"/>
      <c r="N14" s="316"/>
      <c r="O14" s="316"/>
      <c r="P14" s="316"/>
      <c r="Q14" s="318"/>
      <c r="R14" s="318"/>
      <c r="S14" s="318"/>
      <c r="T14" s="318"/>
      <c r="U14" s="318"/>
      <c r="V14" s="318"/>
      <c r="W14" s="317"/>
      <c r="X14" s="319"/>
      <c r="Y14" s="319"/>
      <c r="Z14" s="319"/>
      <c r="AA14" s="319"/>
      <c r="AB14" s="319"/>
      <c r="AC14" s="320"/>
      <c r="AD14" s="320"/>
      <c r="AE14" s="321"/>
      <c r="AF14" s="322"/>
      <c r="AG14" s="322"/>
      <c r="AH14" s="322"/>
      <c r="AI14" s="322"/>
      <c r="AJ14" s="322"/>
      <c r="AK14" s="322"/>
      <c r="AL14" s="322"/>
      <c r="AM14" s="321"/>
      <c r="AN14" s="321"/>
      <c r="AO14" s="321"/>
      <c r="AP14" s="301"/>
      <c r="AQ14" s="301"/>
      <c r="AR14" s="301"/>
      <c r="AS14" s="321"/>
      <c r="AT14" s="323"/>
      <c r="AU14" s="323"/>
    </row>
    <row r="15" spans="1:47" x14ac:dyDescent="0.25">
      <c r="A15" s="300"/>
      <c r="B15" s="300"/>
      <c r="C15" s="316"/>
      <c r="D15" s="316"/>
      <c r="E15" s="316"/>
      <c r="F15" s="316"/>
      <c r="G15" s="316"/>
      <c r="H15" s="316"/>
      <c r="I15" s="316"/>
      <c r="J15" s="316"/>
      <c r="K15" s="317"/>
      <c r="L15" s="316"/>
      <c r="M15" s="316"/>
      <c r="N15" s="316"/>
      <c r="O15" s="316"/>
      <c r="P15" s="316"/>
      <c r="Q15" s="318"/>
      <c r="R15" s="318"/>
      <c r="S15" s="318"/>
      <c r="T15" s="318"/>
      <c r="U15" s="318"/>
      <c r="V15" s="318"/>
      <c r="W15" s="317"/>
      <c r="X15" s="319"/>
      <c r="Y15" s="319"/>
      <c r="Z15" s="319"/>
      <c r="AA15" s="319"/>
      <c r="AB15" s="319"/>
      <c r="AC15" s="320"/>
      <c r="AD15" s="320"/>
      <c r="AE15" s="321"/>
      <c r="AF15" s="322"/>
      <c r="AG15" s="322"/>
      <c r="AH15" s="322"/>
      <c r="AI15" s="322"/>
      <c r="AJ15" s="322"/>
      <c r="AK15" s="322"/>
      <c r="AL15" s="322"/>
      <c r="AM15" s="321"/>
      <c r="AN15" s="321"/>
      <c r="AO15" s="321"/>
      <c r="AP15" s="301"/>
      <c r="AQ15" s="301"/>
      <c r="AR15" s="301"/>
      <c r="AS15" s="321"/>
      <c r="AT15" s="323"/>
      <c r="AU15" s="323"/>
    </row>
    <row r="16" spans="1:47" x14ac:dyDescent="0.25">
      <c r="A16" s="300"/>
      <c r="B16" s="300"/>
      <c r="C16" s="316"/>
      <c r="D16" s="316"/>
      <c r="E16" s="316"/>
      <c r="F16" s="316"/>
      <c r="G16" s="316"/>
      <c r="H16" s="316"/>
      <c r="I16" s="316"/>
      <c r="J16" s="316"/>
      <c r="K16" s="317"/>
      <c r="L16" s="316"/>
      <c r="M16" s="316"/>
      <c r="N16" s="316"/>
      <c r="O16" s="316"/>
      <c r="P16" s="316"/>
      <c r="Q16" s="318"/>
      <c r="R16" s="318"/>
      <c r="S16" s="318"/>
      <c r="T16" s="318"/>
      <c r="U16" s="318"/>
      <c r="V16" s="318"/>
      <c r="W16" s="317"/>
      <c r="X16" s="319"/>
      <c r="Y16" s="319"/>
      <c r="Z16" s="319"/>
      <c r="AA16" s="319"/>
      <c r="AB16" s="319"/>
      <c r="AC16" s="320"/>
      <c r="AD16" s="320"/>
      <c r="AE16" s="321"/>
      <c r="AF16" s="322"/>
      <c r="AG16" s="322"/>
      <c r="AH16" s="322"/>
      <c r="AI16" s="322"/>
      <c r="AJ16" s="322"/>
      <c r="AK16" s="322"/>
      <c r="AL16" s="322"/>
      <c r="AM16" s="321"/>
      <c r="AN16" s="321"/>
      <c r="AO16" s="321"/>
      <c r="AP16" s="301"/>
      <c r="AQ16" s="301"/>
      <c r="AR16" s="301"/>
      <c r="AS16" s="321"/>
      <c r="AT16" s="323"/>
      <c r="AU16" s="323"/>
    </row>
    <row r="17" spans="1:47" x14ac:dyDescent="0.25">
      <c r="A17" s="300"/>
      <c r="B17" s="300"/>
      <c r="C17" s="316"/>
      <c r="D17" s="316"/>
      <c r="E17" s="316"/>
      <c r="F17" s="316"/>
      <c r="G17" s="316"/>
      <c r="H17" s="316"/>
      <c r="I17" s="316"/>
      <c r="J17" s="316"/>
      <c r="K17" s="317"/>
      <c r="L17" s="316"/>
      <c r="M17" s="316"/>
      <c r="N17" s="316"/>
      <c r="O17" s="316"/>
      <c r="P17" s="316"/>
      <c r="Q17" s="318"/>
      <c r="R17" s="318"/>
      <c r="S17" s="318"/>
      <c r="T17" s="318"/>
      <c r="U17" s="318"/>
      <c r="V17" s="318"/>
      <c r="W17" s="317"/>
      <c r="X17" s="319"/>
      <c r="Y17" s="319"/>
      <c r="Z17" s="319"/>
      <c r="AA17" s="319"/>
      <c r="AB17" s="319"/>
      <c r="AC17" s="320"/>
      <c r="AD17" s="320"/>
      <c r="AE17" s="321"/>
      <c r="AF17" s="322"/>
      <c r="AG17" s="322"/>
      <c r="AH17" s="322"/>
      <c r="AI17" s="322"/>
      <c r="AJ17" s="322"/>
      <c r="AK17" s="322"/>
      <c r="AL17" s="322"/>
      <c r="AM17" s="321"/>
      <c r="AN17" s="321"/>
      <c r="AO17" s="321"/>
      <c r="AP17" s="301"/>
      <c r="AQ17" s="301"/>
      <c r="AR17" s="301"/>
      <c r="AS17" s="321"/>
      <c r="AT17" s="323"/>
      <c r="AU17" s="323"/>
    </row>
    <row r="18" spans="1:47" x14ac:dyDescent="0.25">
      <c r="A18" s="300"/>
      <c r="B18" s="300"/>
      <c r="C18" s="316"/>
      <c r="D18" s="316"/>
      <c r="E18" s="316"/>
      <c r="F18" s="316"/>
      <c r="G18" s="316"/>
      <c r="H18" s="316"/>
      <c r="I18" s="316"/>
      <c r="J18" s="316"/>
      <c r="K18" s="317"/>
      <c r="L18" s="316"/>
      <c r="M18" s="316"/>
      <c r="N18" s="316"/>
      <c r="O18" s="316"/>
      <c r="P18" s="316"/>
      <c r="Q18" s="318"/>
      <c r="R18" s="318"/>
      <c r="S18" s="318"/>
      <c r="T18" s="318"/>
      <c r="U18" s="318"/>
      <c r="V18" s="318"/>
      <c r="W18" s="317"/>
      <c r="X18" s="319"/>
      <c r="Y18" s="319"/>
      <c r="Z18" s="319"/>
      <c r="AA18" s="319"/>
      <c r="AB18" s="319"/>
      <c r="AC18" s="320"/>
      <c r="AD18" s="320"/>
      <c r="AE18" s="321"/>
      <c r="AF18" s="322"/>
      <c r="AG18" s="322"/>
      <c r="AH18" s="322"/>
      <c r="AI18" s="322"/>
      <c r="AJ18" s="322"/>
      <c r="AK18" s="322"/>
      <c r="AL18" s="322"/>
      <c r="AM18" s="321"/>
      <c r="AN18" s="321"/>
      <c r="AO18" s="321"/>
      <c r="AP18" s="301"/>
      <c r="AQ18" s="301"/>
      <c r="AR18" s="301"/>
      <c r="AS18" s="321"/>
      <c r="AT18" s="323"/>
      <c r="AU18" s="323"/>
    </row>
    <row r="19" spans="1:47" x14ac:dyDescent="0.25">
      <c r="A19" s="300"/>
      <c r="B19" s="300"/>
      <c r="C19" s="316"/>
      <c r="D19" s="316"/>
      <c r="E19" s="316"/>
      <c r="F19" s="316"/>
      <c r="G19" s="316"/>
      <c r="H19" s="316"/>
      <c r="I19" s="316"/>
      <c r="J19" s="316"/>
      <c r="K19" s="317"/>
      <c r="L19" s="316"/>
      <c r="M19" s="316"/>
      <c r="N19" s="316"/>
      <c r="O19" s="316"/>
      <c r="P19" s="316"/>
      <c r="Q19" s="318"/>
      <c r="R19" s="318"/>
      <c r="S19" s="318"/>
      <c r="T19" s="318"/>
      <c r="U19" s="318"/>
      <c r="V19" s="318"/>
      <c r="W19" s="317"/>
      <c r="X19" s="319"/>
      <c r="Y19" s="319"/>
      <c r="Z19" s="319"/>
      <c r="AA19" s="319"/>
      <c r="AB19" s="319"/>
      <c r="AC19" s="320"/>
      <c r="AD19" s="320"/>
      <c r="AE19" s="321"/>
      <c r="AF19" s="322"/>
      <c r="AG19" s="322"/>
      <c r="AH19" s="322"/>
      <c r="AI19" s="322"/>
      <c r="AJ19" s="322"/>
      <c r="AK19" s="322"/>
      <c r="AL19" s="322"/>
      <c r="AM19" s="321"/>
      <c r="AN19" s="321"/>
      <c r="AO19" s="321"/>
      <c r="AP19" s="301"/>
      <c r="AQ19" s="301"/>
      <c r="AR19" s="301"/>
      <c r="AS19" s="321"/>
      <c r="AT19" s="323"/>
      <c r="AU19" s="323"/>
    </row>
    <row r="20" spans="1:47" x14ac:dyDescent="0.25">
      <c r="A20" s="300"/>
      <c r="B20" s="300"/>
      <c r="C20" s="316"/>
      <c r="D20" s="316"/>
      <c r="E20" s="316"/>
      <c r="F20" s="316"/>
      <c r="G20" s="316"/>
      <c r="H20" s="316"/>
      <c r="I20" s="316"/>
      <c r="J20" s="316"/>
      <c r="K20" s="317"/>
      <c r="L20" s="316"/>
      <c r="M20" s="316"/>
      <c r="N20" s="316"/>
      <c r="O20" s="316"/>
      <c r="P20" s="316"/>
      <c r="Q20" s="318"/>
      <c r="R20" s="318"/>
      <c r="S20" s="318"/>
      <c r="T20" s="318"/>
      <c r="U20" s="318"/>
      <c r="V20" s="318"/>
      <c r="W20" s="317"/>
      <c r="X20" s="319"/>
      <c r="Y20" s="319"/>
      <c r="Z20" s="319"/>
      <c r="AA20" s="319"/>
      <c r="AB20" s="319"/>
      <c r="AC20" s="320"/>
      <c r="AD20" s="320"/>
      <c r="AE20" s="321"/>
      <c r="AF20" s="322"/>
      <c r="AG20" s="322"/>
      <c r="AH20" s="322"/>
      <c r="AI20" s="322"/>
      <c r="AJ20" s="322"/>
      <c r="AK20" s="322"/>
      <c r="AL20" s="322"/>
      <c r="AM20" s="321"/>
      <c r="AN20" s="321"/>
      <c r="AO20" s="321"/>
      <c r="AP20" s="301"/>
      <c r="AQ20" s="301"/>
      <c r="AR20" s="301"/>
      <c r="AS20" s="321"/>
      <c r="AT20" s="323"/>
      <c r="AU20" s="323"/>
    </row>
    <row r="21" spans="1:47" x14ac:dyDescent="0.25">
      <c r="A21" s="300"/>
      <c r="B21" s="300"/>
      <c r="C21" s="316"/>
      <c r="D21" s="316"/>
      <c r="E21" s="316"/>
      <c r="F21" s="316"/>
      <c r="G21" s="316"/>
      <c r="H21" s="316"/>
      <c r="I21" s="316"/>
      <c r="J21" s="316"/>
      <c r="K21" s="317"/>
      <c r="L21" s="316"/>
      <c r="M21" s="316"/>
      <c r="N21" s="316"/>
      <c r="O21" s="316"/>
      <c r="P21" s="316"/>
      <c r="Q21" s="318"/>
      <c r="R21" s="318"/>
      <c r="S21" s="318"/>
      <c r="T21" s="318"/>
      <c r="U21" s="318"/>
      <c r="V21" s="318"/>
      <c r="W21" s="317"/>
      <c r="X21" s="319"/>
      <c r="Y21" s="319"/>
      <c r="Z21" s="319"/>
      <c r="AA21" s="319"/>
      <c r="AB21" s="319"/>
      <c r="AC21" s="320"/>
      <c r="AD21" s="320"/>
      <c r="AE21" s="321"/>
      <c r="AF21" s="322"/>
      <c r="AG21" s="322"/>
      <c r="AH21" s="322"/>
      <c r="AI21" s="322"/>
      <c r="AJ21" s="322"/>
      <c r="AK21" s="322"/>
      <c r="AL21" s="322"/>
      <c r="AM21" s="321"/>
      <c r="AN21" s="321"/>
      <c r="AO21" s="321"/>
      <c r="AP21" s="301"/>
      <c r="AQ21" s="301"/>
      <c r="AR21" s="301"/>
      <c r="AS21" s="321"/>
      <c r="AT21" s="323"/>
      <c r="AU21" s="323"/>
    </row>
    <row r="22" spans="1:47" x14ac:dyDescent="0.25">
      <c r="A22" s="300"/>
      <c r="B22" s="300"/>
      <c r="C22" s="316"/>
      <c r="D22" s="316"/>
      <c r="E22" s="316"/>
      <c r="F22" s="316"/>
      <c r="G22" s="316"/>
      <c r="H22" s="316"/>
      <c r="I22" s="316"/>
      <c r="J22" s="316"/>
      <c r="K22" s="317"/>
      <c r="L22" s="316"/>
      <c r="M22" s="316"/>
      <c r="N22" s="316"/>
      <c r="O22" s="316"/>
      <c r="P22" s="316"/>
      <c r="Q22" s="318"/>
      <c r="R22" s="318"/>
      <c r="S22" s="318"/>
      <c r="T22" s="318"/>
      <c r="U22" s="318"/>
      <c r="V22" s="318"/>
      <c r="W22" s="317"/>
      <c r="X22" s="319"/>
      <c r="Y22" s="319"/>
      <c r="Z22" s="319"/>
      <c r="AA22" s="319"/>
      <c r="AB22" s="319"/>
      <c r="AC22" s="320"/>
      <c r="AD22" s="320"/>
      <c r="AE22" s="321"/>
      <c r="AF22" s="322"/>
      <c r="AG22" s="322"/>
      <c r="AH22" s="322"/>
      <c r="AI22" s="322"/>
      <c r="AJ22" s="322"/>
      <c r="AK22" s="322"/>
      <c r="AL22" s="322"/>
      <c r="AM22" s="321"/>
      <c r="AN22" s="321"/>
      <c r="AO22" s="321"/>
      <c r="AP22" s="301"/>
      <c r="AQ22" s="301"/>
      <c r="AR22" s="301"/>
      <c r="AS22" s="321"/>
      <c r="AT22" s="323"/>
      <c r="AU22" s="323"/>
    </row>
    <row r="23" spans="1:47" x14ac:dyDescent="0.25">
      <c r="A23" s="300"/>
      <c r="B23" s="300"/>
      <c r="C23" s="316"/>
      <c r="D23" s="316"/>
      <c r="E23" s="316"/>
      <c r="F23" s="316"/>
      <c r="G23" s="316"/>
      <c r="H23" s="316"/>
      <c r="I23" s="316"/>
      <c r="J23" s="316"/>
      <c r="K23" s="317"/>
      <c r="L23" s="316"/>
      <c r="M23" s="316"/>
      <c r="N23" s="316"/>
      <c r="O23" s="316"/>
      <c r="P23" s="316"/>
      <c r="Q23" s="318"/>
      <c r="R23" s="318"/>
      <c r="S23" s="318"/>
      <c r="T23" s="318"/>
      <c r="U23" s="318"/>
      <c r="V23" s="318"/>
      <c r="W23" s="317"/>
      <c r="X23" s="319"/>
      <c r="Y23" s="319"/>
      <c r="Z23" s="319"/>
      <c r="AA23" s="319"/>
      <c r="AB23" s="319"/>
      <c r="AC23" s="320"/>
      <c r="AD23" s="320"/>
      <c r="AE23" s="321"/>
      <c r="AF23" s="322"/>
      <c r="AG23" s="322"/>
      <c r="AH23" s="322"/>
      <c r="AI23" s="322"/>
      <c r="AJ23" s="322"/>
      <c r="AK23" s="322"/>
      <c r="AL23" s="322"/>
      <c r="AM23" s="321"/>
      <c r="AN23" s="321"/>
      <c r="AO23" s="321"/>
      <c r="AP23" s="301"/>
      <c r="AQ23" s="301"/>
      <c r="AR23" s="301"/>
      <c r="AS23" s="321"/>
      <c r="AT23" s="323"/>
      <c r="AU23" s="323"/>
    </row>
    <row r="24" spans="1:47" x14ac:dyDescent="0.25">
      <c r="A24" s="300"/>
      <c r="B24" s="300"/>
      <c r="C24" s="316"/>
      <c r="D24" s="316"/>
      <c r="E24" s="316"/>
      <c r="F24" s="316"/>
      <c r="G24" s="316"/>
      <c r="H24" s="316"/>
      <c r="I24" s="316"/>
      <c r="J24" s="316"/>
      <c r="K24" s="317"/>
      <c r="L24" s="316"/>
      <c r="M24" s="316"/>
      <c r="N24" s="316"/>
      <c r="O24" s="316"/>
      <c r="P24" s="316"/>
      <c r="Q24" s="318"/>
      <c r="R24" s="318"/>
      <c r="S24" s="318"/>
      <c r="T24" s="318"/>
      <c r="U24" s="318"/>
      <c r="V24" s="318"/>
      <c r="W24" s="317"/>
      <c r="X24" s="319"/>
      <c r="Y24" s="319"/>
      <c r="Z24" s="319"/>
      <c r="AA24" s="319"/>
      <c r="AB24" s="319"/>
      <c r="AC24" s="320"/>
      <c r="AD24" s="320"/>
      <c r="AE24" s="321"/>
      <c r="AF24" s="322"/>
      <c r="AG24" s="322"/>
      <c r="AH24" s="322"/>
      <c r="AI24" s="322"/>
      <c r="AJ24" s="322"/>
      <c r="AK24" s="322"/>
      <c r="AL24" s="322"/>
      <c r="AM24" s="321"/>
      <c r="AN24" s="321"/>
      <c r="AO24" s="321"/>
      <c r="AP24" s="301"/>
      <c r="AQ24" s="301"/>
      <c r="AR24" s="301"/>
      <c r="AS24" s="321"/>
      <c r="AT24" s="323"/>
      <c r="AU24" s="323"/>
    </row>
    <row r="25" spans="1:47" x14ac:dyDescent="0.25">
      <c r="A25" s="300"/>
      <c r="B25" s="300"/>
      <c r="C25" s="316"/>
      <c r="D25" s="316"/>
      <c r="E25" s="316"/>
      <c r="F25" s="316"/>
      <c r="G25" s="316"/>
      <c r="H25" s="316"/>
      <c r="I25" s="316"/>
      <c r="J25" s="316"/>
      <c r="K25" s="317"/>
      <c r="L25" s="316"/>
      <c r="M25" s="316"/>
      <c r="N25" s="316"/>
      <c r="O25" s="316"/>
      <c r="P25" s="316"/>
      <c r="Q25" s="318"/>
      <c r="R25" s="318"/>
      <c r="S25" s="318"/>
      <c r="T25" s="318"/>
      <c r="U25" s="318"/>
      <c r="V25" s="318"/>
      <c r="W25" s="317"/>
      <c r="X25" s="319"/>
      <c r="Y25" s="319"/>
      <c r="Z25" s="319"/>
      <c r="AA25" s="319"/>
      <c r="AB25" s="319"/>
      <c r="AC25" s="320"/>
      <c r="AD25" s="320"/>
      <c r="AE25" s="321"/>
      <c r="AF25" s="322"/>
      <c r="AG25" s="322"/>
      <c r="AH25" s="322"/>
      <c r="AI25" s="322"/>
      <c r="AJ25" s="322"/>
      <c r="AK25" s="322"/>
      <c r="AL25" s="322"/>
      <c r="AM25" s="321"/>
      <c r="AN25" s="321"/>
      <c r="AO25" s="321"/>
      <c r="AP25" s="301"/>
      <c r="AQ25" s="301"/>
      <c r="AR25" s="301"/>
      <c r="AS25" s="321"/>
      <c r="AT25" s="323"/>
      <c r="AU25" s="323"/>
    </row>
    <row r="26" spans="1:47" x14ac:dyDescent="0.25">
      <c r="A26" s="300"/>
      <c r="B26" s="300"/>
      <c r="C26" s="316"/>
      <c r="D26" s="316"/>
      <c r="E26" s="316"/>
      <c r="F26" s="316"/>
      <c r="G26" s="316"/>
      <c r="H26" s="316"/>
      <c r="I26" s="316"/>
      <c r="J26" s="316"/>
      <c r="K26" s="317"/>
      <c r="L26" s="316"/>
      <c r="M26" s="316"/>
      <c r="N26" s="316"/>
      <c r="O26" s="316"/>
      <c r="P26" s="316"/>
      <c r="Q26" s="318"/>
      <c r="R26" s="318"/>
      <c r="S26" s="318"/>
      <c r="T26" s="318"/>
      <c r="U26" s="318"/>
      <c r="V26" s="318"/>
      <c r="W26" s="317"/>
      <c r="X26" s="319"/>
      <c r="Y26" s="319"/>
      <c r="Z26" s="319"/>
      <c r="AA26" s="319"/>
      <c r="AB26" s="319"/>
      <c r="AC26" s="320"/>
      <c r="AD26" s="320"/>
      <c r="AE26" s="321"/>
      <c r="AF26" s="322"/>
      <c r="AG26" s="322"/>
      <c r="AH26" s="322"/>
      <c r="AI26" s="322"/>
      <c r="AJ26" s="322"/>
      <c r="AK26" s="322"/>
      <c r="AL26" s="322"/>
      <c r="AM26" s="321"/>
      <c r="AN26" s="321"/>
      <c r="AO26" s="321"/>
      <c r="AP26" s="301"/>
      <c r="AQ26" s="301"/>
      <c r="AR26" s="301"/>
      <c r="AS26" s="321"/>
      <c r="AT26" s="323"/>
      <c r="AU26" s="323"/>
    </row>
    <row r="27" spans="1:47" x14ac:dyDescent="0.25">
      <c r="AR27" s="301"/>
    </row>
  </sheetData>
  <mergeCells count="9">
    <mergeCell ref="AE2:AE3"/>
    <mergeCell ref="AF2:AL2"/>
    <mergeCell ref="AM2:AM3"/>
    <mergeCell ref="C2:J2"/>
    <mergeCell ref="K2:K3"/>
    <mergeCell ref="L2:P2"/>
    <mergeCell ref="Q2:V2"/>
    <mergeCell ref="W2:W3"/>
    <mergeCell ref="X2:A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ТОГТМОЛ ЗАРДАЛ</vt:lpstr>
      <vt:lpstr>1</vt:lpstr>
      <vt:lpstr>2</vt:lpstr>
      <vt:lpstr>3</vt:lpstr>
      <vt:lpstr>АДУУНЫ МАХ</vt:lpstr>
      <vt:lpstr>Хуулга</vt:lpstr>
      <vt:lpstr>Цаг</vt:lpstr>
      <vt:lpstr>Үйлдвэрлэл</vt:lpstr>
      <vt:lpstr>Малын тооцоо</vt:lpstr>
      <vt:lpstr>ТЭМ</vt:lpstr>
      <vt:lpstr>шулаа</vt:lpstr>
      <vt:lpstr>ТЭМ тус</vt:lpstr>
      <vt:lpstr>СББ</vt:lpstr>
      <vt:lpstr>Sheet1</vt:lpstr>
      <vt:lpstr>өртөг сараар төлөвлөгөө</vt:lpstr>
      <vt:lpstr>Бодит үйлдвэрлэл</vt:lpstr>
      <vt:lpstr>НИЙТ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acer</cp:lastModifiedBy>
  <cp:lastPrinted>2026-07-30T08:31:48Z</cp:lastPrinted>
  <dcterms:created xsi:type="dcterms:W3CDTF">2015-06-05T18:17:20Z</dcterms:created>
  <dcterms:modified xsi:type="dcterms:W3CDTF">2026-08-06T07:17:44Z</dcterms:modified>
</cp:coreProperties>
</file>